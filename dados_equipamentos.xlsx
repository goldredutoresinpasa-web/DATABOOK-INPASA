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46C93CA5-CF52-4DD7-A5AC-80248C4F63F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<sst xmlns="http://schemas.openxmlformats.org/spreadsheetml/2006/main" count="928" uniqueCount="454">
  <si>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</si>
  <si>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</si>
  <si>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</si>
  <si>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</si>
  <si>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</si>
  <si>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</si>
  <si>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</si>
  <si>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</si>
  <si>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</si>
  <si>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</si>
  <si>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</si>
  <si>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</si>
  <si>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</si>
  <si>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</si>
  <si>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</si>
  <si>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</si>
  <si>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</si>
  <si>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</si>
  <si>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</si>
  <si>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</si>
  <si>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</si>
  <si>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</si>
  <si>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</si>
  <si>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</si>
  <si>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</si>
  <si>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</si>
  <si>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</si>
  <si>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</si>
  <si>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</si>
  <si>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</si>
  <si>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</si>
  <si>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</si>
  <si>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</si>
  <si>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</si>
  <si>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</si>
  <si>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</si>
  <si>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</si>
  <si>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</si>
  <si>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</si>
  <si>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</si>
  <si>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</si>
  <si>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</si>
  <si>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</si>
  <si>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</si>
  <si>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</si>
  <si>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</si>
  <si>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</si>
  <si>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</si>
  <si>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</si>
  <si>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</si>
  <si>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</si>
  <si>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</si>
  <si>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</si>
  <si>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</si>
  <si>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</si>
  <si>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</si>
  <si>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</si>
  <si>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</si>
  <si>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</si>
  <si>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</si>
  <si>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</si>
  <si>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</si>
  <si>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</si>
  <si>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</si>
  <si>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</si>
  <si>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</si>
  <si>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</si>
  <si>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</si>
  <si>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</si>
  <si>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</si>
  <si>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</si>
  <si>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</si>
  <si>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</si>
  <si>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</si>
  <si>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</si>
  <si>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</si>
  <si>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</si>
  <si>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</si>
  <si>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</si>
  <si>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</si>
  <si>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</si>
  <si>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</si>
  <si>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</si>
  <si>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</si>
  <si>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</si>
  <si>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</si>
  <si>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</si>
  <si>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</si>
  <si>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</si>
  <si>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</si>
  <si>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</si>
  <si>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</si>
  <si>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</si>
  <si>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</si>
  <si>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</si>
  <si>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</si>
  <si>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</si>
  <si>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</si>
  <si>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</si>
  <si>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</si>
  <si>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</si>
  <si>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</si>
  <si>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</si>
  <si>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</si>
  <si>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</si>
  <si>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</si>
  <si>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</si>
  <si>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</si>
  <si>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</si>
  <si>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</si>
  <si>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</si>
  <si>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</si>
  <si>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</si>
  <si>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</si>
  <si>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</si>
  <si>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</si>
  <si>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</si>
  <si>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</si>
  <si>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</si>
  <si>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</si>
  <si>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</si>
  <si>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</si>
  <si>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</si>
  <si>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</si>
  <si>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</si>
  <si>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</si>
  <si>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</si>
  <si>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</si>
  <si>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</si>
  <si>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</si>
  <si>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</si>
  <si>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</si>
  <si>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</si>
  <si>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</si>
  <si>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</si>
  <si>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</si>
  <si>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</si>
  <si>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</si>
  <si>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</si>
  <si>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</si>
  <si>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</si>
  <si>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</si>
  <si>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</si>
  <si>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</si>
  <si>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</si>
  <si>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</si>
  <si>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</si>
  <si>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</si>
  <si>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</si>
  <si>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</si>
  <si>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</si>
  <si>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</si>
  <si>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</si>
  <si>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</si>
  <si>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</si>
  <si>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</si>
  <si>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</si>
  <si>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</si>
  <si>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</si>
  <si>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</si>
  <si>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</si>
  <si>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</si>
  <si>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</si>
  <si>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</si>
  <si>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</si>
  <si>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</si>
  <si>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</si>
  <si>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</si>
  <si>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</si>
  <si>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</si>
  <si>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</si>
  <si>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</si>
  <si>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</si>
  <si>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</si>
  <si>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</si>
  <si>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</si>
  <si>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</si>
  <si>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</si>
  <si>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</si>
  <si>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</si>
  <si>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</si>
  <si>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</si>
  <si>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</si>
  <si>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</si>
  <si>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</si>
  <si>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</si>
  <si>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</si>
  <si>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</si>
  <si>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</si>
  <si>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</si>
  <si>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</si>
  <si>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</si>
  <si>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</si>
  <si>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</si>
  <si>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</si>
  <si>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</si>
  <si>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</si>
  <si>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</si>
  <si>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</si>
  <si>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</si>
  <si>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</si>
  <si>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</si>
  <si>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</si>
  <si>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</si>
  <si>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</si>
  <si>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</si>
  <si>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</si>
  <si>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</si>
  <si>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</si>
  <si>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</si>
  <si>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</si>
  <si>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</si>
  <si>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</si>
  <si>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</si>
  <si>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</si>
  <si>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</si>
  <si>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</si>
  <si>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</si>
  <si>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</si>
  <si>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</si>
  <si>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</si>
  <si>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</si>
  <si>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</si>
  <si>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</si>
  <si>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</si>
  <si>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</si>
  <si>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</si>
  <si>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</si>
  <si>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</si>
  <si>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</si>
  <si>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</si>
  <si>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</si>
  <si>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</si>
  <si>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</si>
  <si>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</si>
  <si>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</si>
  <si>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</si>
  <si>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</si>
  <si>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</si>
  <si>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</si>
  <si>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</si>
  <si>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</si>
  <si>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</si>
  <si>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</si>
  <si>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</si>
  <si>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</si>
  <si>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</si>
  <si>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</si>
  <si>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</si>
  <si>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</si>
  <si>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</si>
  <si>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</si>
  <si>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</si>
  <si>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</si>
  <si>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</si>
  <si>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</si>
  <si>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</si>
  <si>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</si>
  <si>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</si>
  <si>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</si>
  <si>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</si>
  <si>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</si>
  <si>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</si>
  <si>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</si>
  <si>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</si>
  <si>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</si>
  <si>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</si>
  <si>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</si>
  <si>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</si>
  <si>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</si>
  <si>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</si>
  <si>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</si>
  <si>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</si>
  <si>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</si>
  <si>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</si>
  <si>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</si>
  <si>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</si>
  <si>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</si>
  <si>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</si>
  <si>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</si>
  <si>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</si>
  <si>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</si>
  <si>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</si>
  <si>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</si>
  <si>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</si>
  <si>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</si>
  <si>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</si>
  <si>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</si>
  <si>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</si>
  <si>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</si>
  <si>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</si>
  <si>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</si>
  <si>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</si>
  <si>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</si>
  <si>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</si>
  <si>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</si>
  <si>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</si>
  <si>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</si>
  <si>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</si>
  <si>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</si>
  <si>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</si>
  <si>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</si>
  <si>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</si>
  <si>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</si>
  <si>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</si>
  <si>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</si>
  <si>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</si>
  <si>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</si>
  <si>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</si>
  <si>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</si>
  <si>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</si>
  <si>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</si>
  <si>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</si>
  <si>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</si>
  <si>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</si>
  <si>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</si>
  <si>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</si>
  <si>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</si>
  <si>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</si>
  <si>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</si>
  <si>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</si>
  <si>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</si>
  <si>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</si>
  <si>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</si>
  <si>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</si>
  <si>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</si>
  <si>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</si>
  <si>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</si>
  <si>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</si>
  <si>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</si>
  <si>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</si>
  <si>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</si>
  <si>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</si>
  <si>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</si>
  <si>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</si>
  <si>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</si>
  <si>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</si>
  <si>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</si>
  <si>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</si>
  <si>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</si>
  <si>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</si>
  <si>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</si>
  <si>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</si>
  <si>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</si>
  <si>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</si>
  <si>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</si>
  <si>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</si>
  <si>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</si>
  <si>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</si>
  <si>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</si>
  <si>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</si>
  <si>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</si>
  <si>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</si>
  <si>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</si>
  <si>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</si>
  <si>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</si>
  <si>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</si>
  <si>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</si>
  <si>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</si>
  <si>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</si>
  <si>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</si>
  <si>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</si>
  <si>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</si>
  <si>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</si>
  <si>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</si>
  <si>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</si>
  <si>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</si>
  <si>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</si>
  <si>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</si>
  <si>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</si>
  <si>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</si>
  <si>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</si>
  <si>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</si>
  <si>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</si>
  <si>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</si>
  <si>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</si>
  <si>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</si>
  <si>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</si>
  <si>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</si>
  <si>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</si>
  <si>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</si>
  <si>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</si>
  <si>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</si>
  <si>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</si>
  <si>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</si>
  <si>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</si>
  <si>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</si>
  <si>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</si>
  <si>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</si>
  <si>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</si>
  <si>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</si>
  <si>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</si>
  <si>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</si>
  <si>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</si>
  <si>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</si>
  <si>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</si>
  <si>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</si>
  <si>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</si>
  <si>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</si>
  <si>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</si>
  <si>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</si>
  <si>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</si>
  <si>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</si>
  <si>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</si>
  <si>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</si>
  <si>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</si>
  <si>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</si>
  <si>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</si>
  <si>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</si>
  <si>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</si>
  <si>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</si>
  <si>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</si>
  <si>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</si>
  <si>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KAF77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</si>
  <si>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</si>
  <si>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</si>
  <si>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</si>
  <si>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</si>
  <si>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</si>
  <si>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</si>
  <si>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</si>
  <si>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</si>
  <si>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</si>
  <si>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</si>
  <si>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</si>
  <si>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</si>
  <si>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</si>
  <si>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</si>
  <si>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assets/img/CESTARII-C06.jpg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</si>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</sst>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7" headerRowDxfId="23" dataDxfId="22" totalsRowDxfId="21">
  <autoFilter ref="A1:R67" xr:uid="{00000000-000C-0000-FFFF-FFFF00000000}"/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7"/>
  <sheetViews>
    <sheetView tabSelected="1" zoomScale="85" zoomScaleNormal="85" workbookViewId="0">
      <pane xSplit="6" ySplit="1" topLeftCell="I61" activePane="bottomRight" state="frozen"/>
      <selection pane="topRight" activeCell="F1" sqref="F1"/>
      <selection pane="bottomLeft" activeCell="A2" sqref="A2"/>
      <selection pane="bottomRight" activeCell="L66" sqref="L66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418</v>
      </c>
      <c r="J61" s="3" t="s">
        <v>415</v>
      </c>
      <c r="K61" s="3" t="s">
        <v>410</v>
      </c>
      <c r="L61" s="3" t="s">
        <v>419</v>
      </c>
      <c r="M61" s="3" t="s">
        <v>420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413</v>
      </c>
      <c r="E62" s="3" t="s">
        <v>414</v>
      </c>
      <c r="F62" s="3"/>
      <c r="G62" s="3"/>
      <c r="H62" s="3"/>
      <c r="I62" s="3" t="s">
        <v>418</v>
      </c>
      <c r="J62" s="3" t="s">
        <v>415</v>
      </c>
      <c r="K62" s="3" t="s">
        <v>416</v>
      </c>
      <c r="L62" s="3" t="s">
        <v>419</v>
      </c>
      <c r="M62" s="3" t="s">
        <v>420</v>
      </c>
      <c r="N62" s="3" t="s">
        <v>235</v>
      </c>
      <c r="O62" s="3" t="s">
        <v>421</v>
      </c>
      <c r="P62" s="3" t="s">
        <v>422</v>
      </c>
      <c r="Q62" s="3" t="s">
        <v>417</v>
      </c>
    </row>
    <row r="63" spans="1:18" ht="57">
      <c r="A63" s="5" t="s">
        <v>424</v>
      </c>
      <c r="B63" s="6" t="s">
        <v>35</v>
      </c>
      <c r="C63" s="3" t="str">
        <f>CONCATENATE("MOTOREDUTOR"," ",TabelaEquipamentos[[#This Row],[Fabricante]])</f>
        <v>MOTOREDUTOR WEG CESTARI</v>
      </c>
      <c r="D63" s="3" t="s">
        <v>423</v>
      </c>
      <c r="E63" s="3" t="s">
        <v>425</v>
      </c>
      <c r="F63" s="3">
        <v>30.3</v>
      </c>
      <c r="G63" s="3">
        <v>1750</v>
      </c>
      <c r="H63" s="3" t="s">
        <v>100</v>
      </c>
      <c r="I63" s="3" t="s">
        <v>426</v>
      </c>
      <c r="J63" s="3" t="s">
        <v>427</v>
      </c>
      <c r="K63" s="7" t="s">
        <v>373</v>
      </c>
      <c r="L63" s="3" t="s">
        <v>428</v>
      </c>
      <c r="M63" s="3" t="s">
        <v>432</v>
      </c>
      <c r="N63" s="3" t="s">
        <v>105</v>
      </c>
      <c r="O63" s="3" t="s">
        <v>430</v>
      </c>
      <c r="P63" s="3" t="s">
        <v>431</v>
      </c>
      <c r="Q63" s="3" t="s">
        <v>429</v>
      </c>
    </row>
    <row r="64" spans="1:18" ht="57">
      <c r="A64" s="5" t="s">
        <v>433</v>
      </c>
      <c r="B64" s="6" t="s">
        <v>35</v>
      </c>
      <c r="C64" s="3" t="str">
        <f>CONCATENATE("MOTOREDUTOR"," ",TabelaEquipamentos[[#This Row],[Fabricante]])</f>
        <v>MOTOREDUTOR WEG CESTARI</v>
      </c>
      <c r="D64" s="3" t="s">
        <v>437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426</v>
      </c>
      <c r="J64" s="3" t="s">
        <v>427</v>
      </c>
      <c r="K64" s="7" t="s">
        <v>451</v>
      </c>
      <c r="L64" s="3" t="s">
        <v>428</v>
      </c>
      <c r="M64" s="3" t="s">
        <v>438</v>
      </c>
      <c r="N64" s="3" t="s">
        <v>105</v>
      </c>
      <c r="O64" s="3" t="s">
        <v>440</v>
      </c>
      <c r="P64" s="3" t="s">
        <v>441</v>
      </c>
      <c r="Q64" s="3" t="s">
        <v>439</v>
      </c>
    </row>
    <row r="65" spans="1:17" ht="57">
      <c r="A65" s="5" t="s">
        <v>434</v>
      </c>
      <c r="B65" s="6" t="s">
        <v>35</v>
      </c>
      <c r="C65" s="3" t="str">
        <f>CONCATENATE("MOTOREDUTOR"," ",TabelaEquipamentos[[#This Row],[Fabricante]])</f>
        <v>MOTOREDUTOR WEG CESTARI</v>
      </c>
      <c r="D65" s="3" t="s">
        <v>423</v>
      </c>
      <c r="E65" s="3" t="s">
        <v>425</v>
      </c>
      <c r="F65" s="3">
        <v>30.3</v>
      </c>
      <c r="G65" s="3">
        <v>1750</v>
      </c>
      <c r="H65" s="3" t="s">
        <v>100</v>
      </c>
      <c r="I65" s="3" t="s">
        <v>426</v>
      </c>
      <c r="J65" s="3" t="s">
        <v>427</v>
      </c>
      <c r="K65" s="7" t="s">
        <v>376</v>
      </c>
      <c r="L65" s="3" t="s">
        <v>428</v>
      </c>
      <c r="M65" s="3" t="s">
        <v>432</v>
      </c>
      <c r="N65" s="3" t="s">
        <v>105</v>
      </c>
      <c r="O65" s="3" t="s">
        <v>442</v>
      </c>
      <c r="P65" s="3" t="s">
        <v>443</v>
      </c>
      <c r="Q65" s="3" t="s">
        <v>444</v>
      </c>
    </row>
    <row r="66" spans="1:17" ht="57">
      <c r="A66" s="5" t="s">
        <v>435</v>
      </c>
      <c r="B66" s="6" t="s">
        <v>35</v>
      </c>
      <c r="C66" s="3" t="str">
        <f>CONCATENATE("MOTOREDUTOR"," ",TabelaEquipamentos[[#This Row],[Fabricante]])</f>
        <v>MOTOREDUTOR WEG CESTARI</v>
      </c>
      <c r="D66" s="3" t="s">
        <v>437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426</v>
      </c>
      <c r="J66" s="3" t="s">
        <v>427</v>
      </c>
      <c r="K66" s="7" t="s">
        <v>452</v>
      </c>
      <c r="L66" s="3" t="s">
        <v>428</v>
      </c>
      <c r="M66" s="3" t="s">
        <v>438</v>
      </c>
      <c r="N66" s="3" t="s">
        <v>105</v>
      </c>
      <c r="O66" s="3" t="s">
        <v>445</v>
      </c>
      <c r="P66" s="3" t="s">
        <v>446</v>
      </c>
      <c r="Q66" s="3" t="s">
        <v>447</v>
      </c>
    </row>
    <row r="67" spans="1:17" ht="57">
      <c r="A67" s="5" t="s">
        <v>436</v>
      </c>
      <c r="B67" s="6" t="s">
        <v>35</v>
      </c>
      <c r="C67" s="3" t="str">
        <f>CONCATENATE("MOTOREDUTOR"," ",TabelaEquipamentos[[#This Row],[Fabricante]])</f>
        <v>MOTOREDUTOR WEG CESTARI</v>
      </c>
      <c r="D67" s="3" t="s">
        <v>423</v>
      </c>
      <c r="E67" s="3" t="s">
        <v>425</v>
      </c>
      <c r="F67" s="3">
        <v>30.3</v>
      </c>
      <c r="G67" s="3">
        <v>1750</v>
      </c>
      <c r="H67" s="3" t="s">
        <v>100</v>
      </c>
      <c r="I67" s="3" t="s">
        <v>426</v>
      </c>
      <c r="J67" s="3" t="s">
        <v>427</v>
      </c>
      <c r="K67" s="7" t="s">
        <v>453</v>
      </c>
      <c r="L67" s="3" t="s">
        <v>428</v>
      </c>
      <c r="M67" s="3" t="s">
        <v>432</v>
      </c>
      <c r="N67" s="3" t="s">
        <v>105</v>
      </c>
      <c r="O67" s="3" t="s">
        <v>448</v>
      </c>
      <c r="P67" s="3" t="s">
        <v>449</v>
      </c>
      <c r="Q67" s="3" t="s">
        <v>450</v>
      </c>
    </row>
  </sheetData>
  <phoneticPr fontId="3" type="noConversion"/>
  <conditionalFormatting sqref="B63:B1048576">
    <cfRule type="duplicateValues" dxfId="2" priority="13"/>
  </conditionalFormatting>
  <conditionalFormatting sqref="R1">
    <cfRule type="duplicateValues" dxfId="1" priority="14"/>
  </conditionalFormatting>
  <conditionalFormatting sqref="R2:R67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2026-09-02T10:58:56Z</dcterms:modified>
</cp:coreProperties>
</file>