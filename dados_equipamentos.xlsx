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CA34F74F-C100-444C-942E-2EEA318F017D}" xr6:coauthVersionLast="47" xr6:coauthVersionMax="47" xr10:uidLastSave="{00000000-0000-0000-0000-000000000000}"/>
  <bookViews>
    <workbookView xWindow="20370" yWindow="-120" windowWidth="19440" windowHeight="1032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<sst xmlns="http://schemas.openxmlformats.org/spreadsheetml/2006/main" count="995" uniqueCount="490">
  <si>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</si>
  <si>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</si>
  <si>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</si>
  <si>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</si>
  <si>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</si>
  <si>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</si>
  <si>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</si>
  <si>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</si>
  <si>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</si>
  <si>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</si>
  <si>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</si>
  <si>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</si>
  <si>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</si>
  <si>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</si>
  <si>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</si>
  <si>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</si>
  <si>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</si>
  <si>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</si>
  <si>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</si>
  <si>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</si>
  <si>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</si>
  <si>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</si>
  <si>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</si>
  <si>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</si>
  <si>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</si>
  <si>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</si>
  <si>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</si>
  <si>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</si>
  <si>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</si>
  <si>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</si>
  <si>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</si>
  <si>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</si>
  <si>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</si>
  <si>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</si>
  <si>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</si>
  <si>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</si>
  <si>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</si>
  <si>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</si>
  <si>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</si>
  <si>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</si>
  <si>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</si>
  <si>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</si>
  <si>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</si>
  <si>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</si>
  <si>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</si>
  <si>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</si>
  <si>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</si>
  <si>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</si>
  <si>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</si>
  <si>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</si>
  <si>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</si>
  <si>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</si>
  <si>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</si>
  <si>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</si>
  <si>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</si>
  <si>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</si>
  <si>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</si>
  <si>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</si>
  <si>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</si>
  <si>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</si>
  <si>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</si>
  <si>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</si>
  <si>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</si>
  <si>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</si>
  <si>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</si>
  <si>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</si>
  <si>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</si>
  <si>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</si>
  <si>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</si>
  <si>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</si>
  <si>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</si>
  <si>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</si>
  <si>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</si>
  <si>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</si>
  <si>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</si>
  <si>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</si>
  <si>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</si>
  <si>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</si>
  <si>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</si>
  <si>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</si>
  <si>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</si>
  <si>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</si>
  <si>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</si>
  <si>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</si>
  <si>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</si>
  <si>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</si>
  <si>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</si>
  <si>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</si>
  <si>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</si>
  <si>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</si>
  <si>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</si>
  <si>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</si>
  <si>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</si>
  <si>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</si>
  <si>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</si>
  <si>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</si>
  <si>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</si>
  <si>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</si>
  <si>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</si>
  <si>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</si>
  <si>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</si>
  <si>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</si>
  <si>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</si>
  <si>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</si>
  <si>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</si>
  <si>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</si>
  <si>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</si>
  <si>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</si>
  <si>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</si>
  <si>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</si>
  <si>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</si>
  <si>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</si>
  <si>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</si>
  <si>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</si>
  <si>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</si>
  <si>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</si>
  <si>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</si>
  <si>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</si>
  <si>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</si>
  <si>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</si>
  <si>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</si>
  <si>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</si>
  <si>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</si>
  <si>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</si>
  <si>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</si>
  <si>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</si>
  <si>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</si>
  <si>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</si>
  <si>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</si>
  <si>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</si>
  <si>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</si>
  <si>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</si>
  <si>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</si>
  <si>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</si>
  <si>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</si>
  <si>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</si>
  <si>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</si>
  <si>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</si>
  <si>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</si>
  <si>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</si>
  <si>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</si>
  <si>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</si>
  <si>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</si>
  <si>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</si>
  <si>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</si>
  <si>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</si>
  <si>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</si>
  <si>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</si>
  <si>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</si>
  <si>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</si>
  <si>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</si>
  <si>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</si>
  <si>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</si>
  <si>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</si>
  <si>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</si>
  <si>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</si>
  <si>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</si>
  <si>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</si>
  <si>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</si>
  <si>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</si>
  <si>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</si>
  <si>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</si>
  <si>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</si>
  <si>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</si>
  <si>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</si>
  <si>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</si>
  <si>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</si>
  <si>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</si>
  <si>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</si>
  <si>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</si>
  <si>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</si>
  <si>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</si>
  <si>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</si>
  <si>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</si>
  <si>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</si>
  <si>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</si>
  <si>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</si>
  <si>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</si>
  <si>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</si>
  <si>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</si>
  <si>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</si>
  <si>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</si>
  <si>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</si>
  <si>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</si>
  <si>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</si>
  <si>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</si>
  <si>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</si>
  <si>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</si>
  <si>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</si>
  <si>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</si>
  <si>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</si>
  <si>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</si>
  <si>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</si>
  <si>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</si>
  <si>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</si>
  <si>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</si>
  <si>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</si>
  <si>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</si>
  <si>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</si>
  <si>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</si>
  <si>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</si>
  <si>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</si>
  <si>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</si>
  <si>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</si>
  <si>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</si>
  <si>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</si>
  <si>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</si>
  <si>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</si>
  <si>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</si>
  <si>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</si>
  <si>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</si>
  <si>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</si>
  <si>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</si>
  <si>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</si>
  <si>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</si>
  <si>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</si>
  <si>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</si>
  <si>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</si>
  <si>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</si>
  <si>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</si>
  <si>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</si>
  <si>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</si>
  <si>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</si>
  <si>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</si>
  <si>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</si>
  <si>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</si>
  <si>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</si>
  <si>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</si>
  <si>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</si>
  <si>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</si>
  <si>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</si>
  <si>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</si>
  <si>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</si>
  <si>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</si>
  <si>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</si>
  <si>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</si>
  <si>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</si>
  <si>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</si>
  <si>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</si>
  <si>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</si>
  <si>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</si>
  <si>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</si>
  <si>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</si>
  <si>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</si>
  <si>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</si>
  <si>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</si>
  <si>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</si>
  <si>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</si>
  <si>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</si>
  <si>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</si>
  <si>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</si>
  <si>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</si>
  <si>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</si>
  <si>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</si>
  <si>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</si>
  <si>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</si>
  <si>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</si>
  <si>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</si>
  <si>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</si>
  <si>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</si>
  <si>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</si>
  <si>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</si>
  <si>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</si>
  <si>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</si>
  <si>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</si>
  <si>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</si>
  <si>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</si>
  <si>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</si>
  <si>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</si>
  <si>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</si>
  <si>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</si>
  <si>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</si>
  <si>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</si>
  <si>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</si>
  <si>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</si>
  <si>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</si>
  <si>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</si>
  <si>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</si>
  <si>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</si>
  <si>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</si>
  <si>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</si>
  <si>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</si>
  <si>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</si>
  <si>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</si>
  <si>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</si>
  <si>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</si>
  <si>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</si>
  <si>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</si>
  <si>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</si>
  <si>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</si>
  <si>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</si>
  <si>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</si>
  <si>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</si>
  <si>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</si>
  <si>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</si>
  <si>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</si>
  <si>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</si>
  <si>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</si>
  <si>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</si>
  <si>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</si>
  <si>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</si>
  <si>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</si>
  <si>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</si>
  <si>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</si>
  <si>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</si>
  <si>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</si>
  <si>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</si>
  <si>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</si>
  <si>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</si>
  <si>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</si>
  <si>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</si>
  <si>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</si>
  <si>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</si>
  <si>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</si>
  <si>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</si>
  <si>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</si>
  <si>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</si>
  <si>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</si>
  <si>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</si>
  <si>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</si>
  <si>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</si>
  <si>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</si>
  <si>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</si>
  <si>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</si>
  <si>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</si>
  <si>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</si>
  <si>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</si>
  <si>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</si>
  <si>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</si>
  <si>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</si>
  <si>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</si>
  <si>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</si>
  <si>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</si>
  <si>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</si>
  <si>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</si>
  <si>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</si>
  <si>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</si>
  <si>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</si>
  <si>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</si>
  <si>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</si>
  <si>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</si>
  <si>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</si>
  <si>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</si>
  <si>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</si>
  <si>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</si>
  <si>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</si>
  <si>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</si>
  <si>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</si>
  <si>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</si>
  <si>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</si>
  <si>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</si>
  <si>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</si>
  <si>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</si>
  <si>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</si>
  <si>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</si>
  <si>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</si>
  <si>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</si>
  <si>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</si>
  <si>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</si>
  <si>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</si>
  <si>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</si>
  <si>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</si>
  <si>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</si>
  <si>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</si>
  <si>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</si>
  <si>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</si>
  <si>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</si>
  <si>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</si>
  <si>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</si>
  <si>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</si>
  <si>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</si>
  <si>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</si>
  <si>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</si>
  <si>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</si>
  <si>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</si>
  <si>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</si>
  <si>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</si>
  <si>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</si>
  <si>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</si>
  <si>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</si>
  <si>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</si>
  <si>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</si>
  <si>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</si>
  <si>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</si>
  <si>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</si>
  <si>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</si>
  <si>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</si>
  <si>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</si>
  <si>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</si>
  <si>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</si>
  <si>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</si>
  <si>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</si>
  <si>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</si>
  <si>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</si>
  <si>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</si>
  <si>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</si>
  <si>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</si>
  <si>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</si>
  <si>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</si>
  <si>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</si>
  <si>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</si>
  <si>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</si>
  <si>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</si>
  <si>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</si>
  <si>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</si>
  <si>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</si>
  <si>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</si>
  <si>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</si>
  <si>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</si>
  <si>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</si>
  <si>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</si>
  <si>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</si>
  <si>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</si>
  <si>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</si>
  <si>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</si>
  <si>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</si>
  <si>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</si>
  <si>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</si>
  <si>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</si>
  <si>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</si>
  <si>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</si>
  <si>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</si>
  <si>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</si>
  <si>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</si>
  <si>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</si>
  <si>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</si>
  <si>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</si>
  <si>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</si>
  <si>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</si>
  <si>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</si>
  <si>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</si>
  <si>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</si>
  <si>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</si>
  <si>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</si>
  <si>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</si>
  <si>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</si>
  <si>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</si>
  <si>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</si>
  <si>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</si>
  <si>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</si>
  <si>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</si>
  <si>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</si>
  <si>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</si>
  <si>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</si>
  <si>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</si>
  <si>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</si>
  <si>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</si>
  <si>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</si>
  <si>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</si>
  <si>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</si>
  <si>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</si>
  <si>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</si>
  <si>
    <t>assets/img/C06.jpg</t>
  </si>
  <si>
    <t>ME- 601078</t>
  </si>
  <si>
    <t>PLANETARIO PHF022T / KF87</t>
  </si>
  <si>
    <t>MOTOR 25 CV -  4 POLOS</t>
  </si>
  <si>
    <t>REDUTOR PLANETARIO ESTEIRA TRANSPORTADORA DE CINZAS 03</t>
  </si>
  <si>
    <t>assets/img/SEWPHF022T.jpg</t>
  </si>
  <si>
    <t xml:space="preserve"> assets/pdf/PLANETARIO PHF022_KF87.pdf</t>
  </si>
  <si>
    <t xml:space="preserve"> assets/pdf/PHF022T_PT.pdf</t>
  </si>
  <si>
    <t xml:space="preserve"> assets/pdf/RELATFINALOS6011.pdf</t>
  </si>
  <si>
    <t xml:space="preserve"> assets/pdf/OS6011.pdf</t>
  </si>
  <si>
    <t>OS Nº 6011 - GOLD</t>
  </si>
  <si>
    <t>ME- 601079</t>
  </si>
  <si>
    <t>REDUTOR PLANETARIO ESTEIRA TRANSPORTADORA DE CINZAS 04</t>
  </si>
  <si>
    <t xml:space="preserve"> assets/pdf/RELATFINALOS6016.pdf</t>
  </si>
  <si>
    <t xml:space="preserve"> assets/pdf/OS6016.pdf</t>
  </si>
  <si>
    <t>OS Nº 6016 - GOLD</t>
  </si>
  <si>
    <t>ME- 601080</t>
  </si>
  <si>
    <t>REDUTOR PLANETARIO ESTEIRA TRANSPORTADORA DE CINZAS 05</t>
  </si>
  <si>
    <t xml:space="preserve"> assets/pdf/RELATFINALOS6021.pdf</t>
  </si>
  <si>
    <t xml:space="preserve"> assets/pdf/OS6021.pdf</t>
  </si>
  <si>
    <t>OS Nº 6021 - GOLD</t>
  </si>
  <si>
    <t>ISO VG 220 / ISSO 680</t>
  </si>
  <si>
    <t>ME- 601241</t>
  </si>
  <si>
    <t>MOTOR 15 CV -  4 POLOS</t>
  </si>
  <si>
    <t>REDUTOR PLANETARIO MOTOR TRANSPORTADOR CORRENTE ALIMENTAÇÃO C601013</t>
  </si>
  <si>
    <t>REDUTOR PLANETARIO DO MOTROR TRANSPORTADOR DE CORRENTE ALIMENTAÇÃO - C-601012</t>
  </si>
  <si>
    <t>PLANETARIO PHF012T / KF87</t>
  </si>
  <si>
    <t>ME - 601240</t>
  </si>
  <si>
    <t>OS Nº 6020 - GOLD</t>
  </si>
  <si>
    <t>OS Nº 6023 - GOLD</t>
  </si>
  <si>
    <t xml:space="preserve"> assets/pdf/LP PFH012 SEW.pdf</t>
  </si>
  <si>
    <t xml:space="preserve"> assets/pdf/MANUALPHF012_T.pdf</t>
  </si>
  <si>
    <t xml:space="preserve"> assets/pdf/RELATFINALOS6020.pdf</t>
  </si>
  <si>
    <t xml:space="preserve"> assets/pdf/OS6020.pdf</t>
  </si>
  <si>
    <t xml:space="preserve"> assets/pdf/RELATFINALOS6023.pdf</t>
  </si>
  <si>
    <t xml:space="preserve"> assets/pdf/OS6023.pdf</t>
  </si>
  <si>
    <t xml:space="preserve"> assets/pdf/V12 - _KIT_FLANGE_CAR200M L_FF350.pdf</t>
  </si>
  <si>
    <t xml:space="preserve"> assets/pdf/V12_KTRCAR225_SM_FF40.pdf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</si>
</sst>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2" headerRowDxfId="23" dataDxfId="22" totalsRowDxfId="21">
  <autoFilter ref="A1:R72" xr:uid="{00000000-000C-0000-FFFF-FFFF00000000}">
    <filterColumn colId="10">
      <filters>
        <filter val="Correia Transportadora - CT- 23"/>
        <filter val="Correia Transportadora - CT-21"/>
      </filters>
    </filterColumn>
  </autoFilter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Montagem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Local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72"/>
  <sheetViews>
    <sheetView tabSelected="1" zoomScale="85" zoomScaleNormal="85" workbookViewId="0">
      <pane xSplit="6" ySplit="1" topLeftCell="K9" activePane="bottomRight" state="frozen"/>
      <selection pane="topRight" activeCell="F1" sqref="F1"/>
      <selection pane="bottomLeft" activeCell="A2" sqref="A2"/>
      <selection pane="bottomRight" activeCell="M77" sqref="M77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8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 hidden="1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 hidden="1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 hidden="1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 hidden="1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 hidden="1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488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 hidden="1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488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 hidden="1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489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489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 hidden="1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 hidden="1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 hidden="1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 hidden="1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 hidden="1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 hidden="1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 hidden="1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 hidden="1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 hidden="1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 hidden="1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 hidden="1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 hidden="1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 hidden="1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 hidden="1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 hidden="1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 hidden="1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 hidden="1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 hidden="1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 hidden="1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 hidden="1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 hidden="1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 hidden="1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 hidden="1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 hidden="1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 hidden="1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 hidden="1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 hidden="1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 hidden="1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 hidden="1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 hidden="1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 hidden="1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 hidden="1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 hidden="1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 hidden="1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 hidden="1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 hidden="1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 hidden="1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 hidden="1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 hidden="1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 hidden="1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 hidden="1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 hidden="1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 hidden="1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 hidden="1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 hidden="1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 hidden="1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 hidden="1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 hidden="1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 hidden="1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 hidden="1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 hidden="1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417</v>
      </c>
      <c r="J61" s="3" t="s">
        <v>414</v>
      </c>
      <c r="K61" s="3" t="s">
        <v>410</v>
      </c>
      <c r="L61" s="3" t="s">
        <v>418</v>
      </c>
      <c r="M61" s="3" t="s">
        <v>419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 hidden="1">
      <c r="A62" s="3" t="s">
        <v>412</v>
      </c>
      <c r="B62" s="3" t="s">
        <v>217</v>
      </c>
      <c r="C62" s="3" t="s">
        <v>335</v>
      </c>
      <c r="D62" s="3" t="s">
        <v>408</v>
      </c>
      <c r="E62" s="3" t="s">
        <v>413</v>
      </c>
      <c r="F62" s="3"/>
      <c r="G62" s="3"/>
      <c r="H62" s="3"/>
      <c r="I62" s="3" t="s">
        <v>417</v>
      </c>
      <c r="J62" s="3" t="s">
        <v>414</v>
      </c>
      <c r="K62" s="3" t="s">
        <v>415</v>
      </c>
      <c r="L62" s="3" t="s">
        <v>418</v>
      </c>
      <c r="M62" s="3" t="s">
        <v>419</v>
      </c>
      <c r="N62" s="3" t="s">
        <v>235</v>
      </c>
      <c r="O62" s="3" t="s">
        <v>420</v>
      </c>
      <c r="P62" s="3" t="s">
        <v>421</v>
      </c>
      <c r="Q62" s="3" t="s">
        <v>416</v>
      </c>
    </row>
    <row r="63" spans="1:18" ht="57" hidden="1">
      <c r="A63" s="3" t="s">
        <v>423</v>
      </c>
      <c r="B63" s="3" t="s">
        <v>35</v>
      </c>
      <c r="C63" s="3" t="str">
        <f>CONCATENATE("MOTOREDUTOR"," ",TabelaEquipamentos[[#This Row],[Fabricante]])</f>
        <v>MOTOREDUTOR WEG CESTARI</v>
      </c>
      <c r="D63" s="3" t="s">
        <v>422</v>
      </c>
      <c r="E63" s="3" t="s">
        <v>424</v>
      </c>
      <c r="F63" s="3">
        <v>30.3</v>
      </c>
      <c r="G63" s="3">
        <v>1750</v>
      </c>
      <c r="H63" s="3" t="s">
        <v>100</v>
      </c>
      <c r="I63" s="3" t="s">
        <v>425</v>
      </c>
      <c r="J63" s="3" t="s">
        <v>426</v>
      </c>
      <c r="K63" s="3" t="s">
        <v>373</v>
      </c>
      <c r="L63" s="3" t="s">
        <v>452</v>
      </c>
      <c r="M63" s="3" t="s">
        <v>430</v>
      </c>
      <c r="N63" s="3" t="s">
        <v>105</v>
      </c>
      <c r="O63" s="3" t="s">
        <v>428</v>
      </c>
      <c r="P63" s="3" t="s">
        <v>429</v>
      </c>
      <c r="Q63" s="3" t="s">
        <v>427</v>
      </c>
    </row>
    <row r="64" spans="1:18" ht="57" hidden="1">
      <c r="A64" s="3" t="s">
        <v>431</v>
      </c>
      <c r="B64" s="3" t="s">
        <v>35</v>
      </c>
      <c r="C64" s="3" t="str">
        <f>CONCATENATE("MOTOREDUTOR"," ",TabelaEquipamentos[[#This Row],[Fabricante]])</f>
        <v>MOTOREDUTOR WEG CESTARI</v>
      </c>
      <c r="D64" s="3" t="s">
        <v>435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425</v>
      </c>
      <c r="J64" s="3" t="s">
        <v>426</v>
      </c>
      <c r="K64" s="3" t="s">
        <v>449</v>
      </c>
      <c r="L64" s="3" t="s">
        <v>452</v>
      </c>
      <c r="M64" s="3" t="s">
        <v>436</v>
      </c>
      <c r="N64" s="3" t="s">
        <v>105</v>
      </c>
      <c r="O64" s="3" t="s">
        <v>438</v>
      </c>
      <c r="P64" s="3" t="s">
        <v>439</v>
      </c>
      <c r="Q64" s="3" t="s">
        <v>437</v>
      </c>
    </row>
    <row r="65" spans="1:17" ht="57" hidden="1">
      <c r="A65" s="3" t="s">
        <v>432</v>
      </c>
      <c r="B65" s="3" t="s">
        <v>35</v>
      </c>
      <c r="C65" s="3" t="str">
        <f>CONCATENATE("MOTOREDUTOR"," ",TabelaEquipamentos[[#This Row],[Fabricante]])</f>
        <v>MOTOREDUTOR WEG CESTARI</v>
      </c>
      <c r="D65" s="3" t="s">
        <v>422</v>
      </c>
      <c r="E65" s="3" t="s">
        <v>424</v>
      </c>
      <c r="F65" s="3">
        <v>30.3</v>
      </c>
      <c r="G65" s="3">
        <v>1750</v>
      </c>
      <c r="H65" s="3" t="s">
        <v>100</v>
      </c>
      <c r="I65" s="3" t="s">
        <v>425</v>
      </c>
      <c r="J65" s="3" t="s">
        <v>426</v>
      </c>
      <c r="K65" s="3" t="s">
        <v>376</v>
      </c>
      <c r="L65" s="3" t="s">
        <v>452</v>
      </c>
      <c r="M65" s="3" t="s">
        <v>430</v>
      </c>
      <c r="N65" s="3" t="s">
        <v>105</v>
      </c>
      <c r="O65" s="3" t="s">
        <v>440</v>
      </c>
      <c r="P65" s="3" t="s">
        <v>441</v>
      </c>
      <c r="Q65" s="3" t="s">
        <v>442</v>
      </c>
    </row>
    <row r="66" spans="1:17" ht="57" hidden="1">
      <c r="A66" s="3" t="s">
        <v>433</v>
      </c>
      <c r="B66" s="3" t="s">
        <v>35</v>
      </c>
      <c r="C66" s="3" t="str">
        <f>CONCATENATE("MOTOREDUTOR"," ",TabelaEquipamentos[[#This Row],[Fabricante]])</f>
        <v>MOTOREDUTOR WEG CESTARI</v>
      </c>
      <c r="D66" s="3" t="s">
        <v>435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425</v>
      </c>
      <c r="J66" s="3" t="s">
        <v>426</v>
      </c>
      <c r="K66" s="3" t="s">
        <v>450</v>
      </c>
      <c r="L66" s="3" t="s">
        <v>452</v>
      </c>
      <c r="M66" s="3" t="s">
        <v>436</v>
      </c>
      <c r="N66" s="3" t="s">
        <v>105</v>
      </c>
      <c r="O66" s="3" t="s">
        <v>443</v>
      </c>
      <c r="P66" s="3" t="s">
        <v>444</v>
      </c>
      <c r="Q66" s="3" t="s">
        <v>445</v>
      </c>
    </row>
    <row r="67" spans="1:17" ht="57" hidden="1">
      <c r="A67" s="3" t="s">
        <v>434</v>
      </c>
      <c r="B67" s="3" t="s">
        <v>35</v>
      </c>
      <c r="C67" s="3" t="str">
        <f>CONCATENATE("MOTOREDUTOR"," ",TabelaEquipamentos[[#This Row],[Fabricante]])</f>
        <v>MOTOREDUTOR WEG CESTARI</v>
      </c>
      <c r="D67" s="3" t="s">
        <v>422</v>
      </c>
      <c r="E67" s="3" t="s">
        <v>424</v>
      </c>
      <c r="F67" s="3">
        <v>30.3</v>
      </c>
      <c r="G67" s="3">
        <v>1750</v>
      </c>
      <c r="H67" s="3" t="s">
        <v>100</v>
      </c>
      <c r="I67" s="3" t="s">
        <v>425</v>
      </c>
      <c r="J67" s="3" t="s">
        <v>426</v>
      </c>
      <c r="K67" s="3" t="s">
        <v>451</v>
      </c>
      <c r="L67" s="3" t="s">
        <v>452</v>
      </c>
      <c r="M67" s="3" t="s">
        <v>430</v>
      </c>
      <c r="N67" s="3" t="s">
        <v>105</v>
      </c>
      <c r="O67" s="3" t="s">
        <v>446</v>
      </c>
      <c r="P67" s="3" t="s">
        <v>447</v>
      </c>
      <c r="Q67" s="3" t="s">
        <v>448</v>
      </c>
    </row>
    <row r="68" spans="1:17" ht="85.5" hidden="1">
      <c r="A68" s="3" t="s">
        <v>453</v>
      </c>
      <c r="B68" s="3" t="s">
        <v>217</v>
      </c>
      <c r="C68" s="3" t="s">
        <v>335</v>
      </c>
      <c r="D68" s="3" t="s">
        <v>454</v>
      </c>
      <c r="E68" s="3" t="s">
        <v>455</v>
      </c>
      <c r="F68" s="3"/>
      <c r="G68" s="3"/>
      <c r="H68" s="3"/>
      <c r="I68" s="3" t="s">
        <v>473</v>
      </c>
      <c r="J68" s="3">
        <v>12</v>
      </c>
      <c r="K68" s="3" t="s">
        <v>456</v>
      </c>
      <c r="L68" s="3" t="s">
        <v>457</v>
      </c>
      <c r="M68" s="3" t="s">
        <v>458</v>
      </c>
      <c r="N68" s="3" t="s">
        <v>459</v>
      </c>
      <c r="O68" s="3" t="s">
        <v>460</v>
      </c>
      <c r="P68" s="3" t="s">
        <v>461</v>
      </c>
      <c r="Q68" s="3" t="s">
        <v>462</v>
      </c>
    </row>
    <row r="69" spans="1:17" ht="85.5" hidden="1">
      <c r="A69" s="3" t="s">
        <v>463</v>
      </c>
      <c r="B69" s="3" t="s">
        <v>217</v>
      </c>
      <c r="C69" s="3" t="s">
        <v>335</v>
      </c>
      <c r="D69" s="3" t="s">
        <v>454</v>
      </c>
      <c r="E69" s="3" t="s">
        <v>455</v>
      </c>
      <c r="F69" s="3"/>
      <c r="G69" s="3"/>
      <c r="H69" s="3"/>
      <c r="I69" s="3" t="s">
        <v>473</v>
      </c>
      <c r="J69" s="3">
        <v>12</v>
      </c>
      <c r="K69" s="3" t="s">
        <v>464</v>
      </c>
      <c r="L69" s="3" t="s">
        <v>457</v>
      </c>
      <c r="M69" s="3" t="s">
        <v>458</v>
      </c>
      <c r="N69" s="3" t="s">
        <v>459</v>
      </c>
      <c r="O69" s="3" t="s">
        <v>465</v>
      </c>
      <c r="P69" s="3" t="s">
        <v>466</v>
      </c>
      <c r="Q69" s="3" t="s">
        <v>467</v>
      </c>
    </row>
    <row r="70" spans="1:17" ht="85.5" hidden="1">
      <c r="A70" s="3" t="s">
        <v>468</v>
      </c>
      <c r="B70" s="3" t="s">
        <v>217</v>
      </c>
      <c r="C70" s="3" t="s">
        <v>335</v>
      </c>
      <c r="D70" s="3" t="s">
        <v>454</v>
      </c>
      <c r="E70" s="3" t="s">
        <v>455</v>
      </c>
      <c r="F70" s="3"/>
      <c r="G70" s="3"/>
      <c r="H70" s="3"/>
      <c r="I70" s="3" t="s">
        <v>473</v>
      </c>
      <c r="J70" s="3">
        <v>12</v>
      </c>
      <c r="K70" s="3" t="s">
        <v>469</v>
      </c>
      <c r="L70" s="3" t="s">
        <v>457</v>
      </c>
      <c r="M70" s="3" t="s">
        <v>458</v>
      </c>
      <c r="N70" s="3" t="s">
        <v>459</v>
      </c>
      <c r="O70" s="3" t="s">
        <v>470</v>
      </c>
      <c r="P70" s="3" t="s">
        <v>471</v>
      </c>
      <c r="Q70" s="3" t="s">
        <v>472</v>
      </c>
    </row>
    <row r="71" spans="1:17" ht="99.75" hidden="1">
      <c r="A71" s="4" t="s">
        <v>474</v>
      </c>
      <c r="B71" s="5" t="s">
        <v>217</v>
      </c>
      <c r="C71" s="6" t="s">
        <v>335</v>
      </c>
      <c r="D71" s="6" t="s">
        <v>454</v>
      </c>
      <c r="E71" s="6" t="s">
        <v>475</v>
      </c>
      <c r="F71" s="6">
        <v>39.630000000000003</v>
      </c>
      <c r="G71" s="6"/>
      <c r="H71" s="6"/>
      <c r="I71" s="7" t="s">
        <v>417</v>
      </c>
      <c r="J71" s="7" t="s">
        <v>414</v>
      </c>
      <c r="K71" s="6" t="s">
        <v>476</v>
      </c>
      <c r="L71" s="3" t="s">
        <v>457</v>
      </c>
      <c r="M71" s="3" t="s">
        <v>482</v>
      </c>
      <c r="N71" s="3" t="s">
        <v>483</v>
      </c>
      <c r="O71" s="3" t="s">
        <v>484</v>
      </c>
      <c r="P71" s="3" t="s">
        <v>485</v>
      </c>
      <c r="Q71" s="6" t="s">
        <v>480</v>
      </c>
    </row>
    <row r="72" spans="1:17" ht="114" hidden="1">
      <c r="A72" s="6" t="s">
        <v>479</v>
      </c>
      <c r="B72" s="6" t="s">
        <v>217</v>
      </c>
      <c r="C72" s="6" t="s">
        <v>335</v>
      </c>
      <c r="D72" s="6" t="s">
        <v>478</v>
      </c>
      <c r="E72" s="6" t="s">
        <v>372</v>
      </c>
      <c r="F72" s="6">
        <v>39.630000000000003</v>
      </c>
      <c r="G72" s="7"/>
      <c r="H72" s="7"/>
      <c r="I72" s="7" t="s">
        <v>417</v>
      </c>
      <c r="J72" s="7" t="s">
        <v>414</v>
      </c>
      <c r="K72" s="7" t="s">
        <v>477</v>
      </c>
      <c r="L72" s="3" t="s">
        <v>457</v>
      </c>
      <c r="M72" s="3" t="s">
        <v>482</v>
      </c>
      <c r="N72" s="3" t="s">
        <v>483</v>
      </c>
      <c r="O72" s="3" t="s">
        <v>486</v>
      </c>
      <c r="P72" s="3" t="s">
        <v>487</v>
      </c>
      <c r="Q72" s="6" t="s">
        <v>481</v>
      </c>
    </row>
  </sheetData>
  <phoneticPr fontId="3" type="noConversion"/>
  <conditionalFormatting sqref="B73:B1048576">
    <cfRule type="duplicateValues" dxfId="2" priority="13"/>
  </conditionalFormatting>
  <conditionalFormatting sqref="R1">
    <cfRule type="duplicateValues" dxfId="1" priority="14"/>
  </conditionalFormatting>
  <conditionalFormatting sqref="R2:R72">
    <cfRule type="duplicateValues" dxfId="0" priority="23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8" t="s">
        <v>16</v>
      </c>
      <c r="B1" s="8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2026-10-16T13:17:36Z</dcterms:modified>
</cp:coreProperties>
</file>