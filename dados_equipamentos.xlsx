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526AB04A-76CE-4C14-832B-5D9F162F9DC6}" xr6:coauthVersionLast="47" xr6:coauthVersionMax="47" xr10:uidLastSave="{00000000-0000-0000-0000-000000000000}"/>
  <bookViews>
    <workbookView xWindow="20370" yWindow="-120" windowWidth="19440" windowHeight="1032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7" i="1" l="1"/>
  <c r="C86" i="1"/>
  <c r="C85" i="1"/>
  <c r="C84" i="1"/>
  <c r="C83" i="1"/>
  <c r="B81" i="1"/>
  <c r="S80" i="1"/>
  <c r="B80" i="1"/>
  <c r="S8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S61" i="1"/>
  <c r="S60" i="1"/>
  <c r="S59" i="1"/>
  <c r="S54" i="1" l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5" i="1"/>
  <c r="S56" i="1"/>
  <c r="S57" i="1"/>
  <c r="S58" i="1"/>
  <c r="S62" i="1"/>
  <c r="S63" i="1"/>
  <c r="S64" i="1"/>
  <c r="S65" i="1"/>
  <c r="S66" i="1"/>
  <c r="S67" i="1"/>
  <c r="S68" i="1"/>
  <c r="S69" i="1"/>
  <c r="S70" i="1"/>
  <c r="S71" i="1"/>
  <c r="S72" i="1"/>
  <c r="S73" i="1"/>
  <c r="S3" i="1"/>
  <c r="S4" i="1"/>
  <c r="S2" i="1"/>
</calcChain>
</file>

<file path=xl/sharedStrings.xml><?xml version="1.0" encoding="utf-8"?>
<sst xmlns="http://schemas.openxmlformats.org/spreadsheetml/2006/main" count="705" uniqueCount="278">
  <si>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</si>
  <si>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</si>
  <si>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</si>
  <si>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</si>
  <si>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</si>
  <si>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</si>
  <si>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</si>
  <si>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</si>
  <si>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</si>
  <si>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</si>
  <si>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</si>
  <si>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</si>
  <si>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</si>
  <si>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</si>
  <si>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</si>
  <si>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</si>
  <si>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</si>
  <si>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</si>
  <si>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</si>
  <si>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</si>
  <si>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</si>
  <si>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</si>
  <si>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</si>
  <si>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</si>
  <si>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</si>
  <si>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</si>
  <si>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</si>
  <si>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</si>
  <si>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</si>
  <si>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</si>
  <si>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</si>
  <si>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</si>
  <si>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</si>
  <si>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</si>
  <si>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</si>
  <si>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</si>
  <si>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</si>
  <si>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MOTOREDUTOR</t>
  </si>
  <si>
    <t xml:space="preserve">MOTOR 60 CV 3F 4 POLOS </t>
  </si>
  <si>
    <t>RE-631513</t>
  </si>
  <si>
    <t>P3</t>
  </si>
  <si>
    <t>ISO VG 220</t>
  </si>
  <si>
    <t>42,5 L</t>
  </si>
  <si>
    <t>OS Nº 5861 - GOLD</t>
  </si>
  <si>
    <t>RE-631502</t>
  </si>
  <si>
    <t xml:space="preserve">WCG20 - V/F10 </t>
  </si>
  <si>
    <t>WCG20 V/F12 3</t>
  </si>
  <si>
    <t>MOTOR 25 CV 3F 4 POLOS</t>
  </si>
  <si>
    <t>32,5 L</t>
  </si>
  <si>
    <t>CT- 23</t>
  </si>
  <si>
    <t>CT- 02</t>
  </si>
  <si>
    <t>OS Nº 5863 - GOLD</t>
  </si>
  <si>
    <t>RE-631503</t>
  </si>
  <si>
    <t>RE-631501</t>
  </si>
  <si>
    <t>CT- 03</t>
  </si>
  <si>
    <t>CT- 01</t>
  </si>
  <si>
    <t>OS Nº 5874 - GOLD</t>
  </si>
  <si>
    <t>OS Nº 5880 - GOLD</t>
  </si>
  <si>
    <t>RE-631504</t>
  </si>
  <si>
    <t>CT- 04</t>
  </si>
  <si>
    <t>OS Nº 5882 - GOLD</t>
  </si>
  <si>
    <t>RE-631516</t>
  </si>
  <si>
    <t>MOTOR 40 CV 3F 4 POLOS</t>
  </si>
  <si>
    <t>CT- 22</t>
  </si>
  <si>
    <t>OS Nº 5872 - GOLD</t>
  </si>
  <si>
    <t xml:space="preserve">WCG20 - V/F12 </t>
  </si>
  <si>
    <t>MOTOR 60 CV 3F 4 POLOS</t>
  </si>
  <si>
    <t>CT-21</t>
  </si>
  <si>
    <t>OS Nº 5867 - GOLD</t>
  </si>
  <si>
    <t>RE-631508</t>
  </si>
  <si>
    <t>CT-08</t>
  </si>
  <si>
    <t>OS Nº 5865 - GOLD</t>
  </si>
  <si>
    <t>MOTOR 50 CV 3F 4 POLOS</t>
  </si>
  <si>
    <t>RE-631509</t>
  </si>
  <si>
    <t>CT-09</t>
  </si>
  <si>
    <t>OS Nº 5870 - GOLD</t>
  </si>
  <si>
    <t>RE-631512</t>
  </si>
  <si>
    <t>WCG20 F10 3</t>
  </si>
  <si>
    <t>CT- 25</t>
  </si>
  <si>
    <t>OS Nº 5878 - GOLD</t>
  </si>
  <si>
    <t>RE-601011</t>
  </si>
  <si>
    <t xml:space="preserve"> C10 - 3</t>
  </si>
  <si>
    <t>MOTOR 5 CV 4 POLOS</t>
  </si>
  <si>
    <t>13,5 L</t>
  </si>
  <si>
    <t>DOSADOR DE CAVACO 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</si>
  <si>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</si>
  <si>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</si>
  <si>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</si>
  <si>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</si>
  <si>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</si>
  <si>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</si>
  <si>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</si>
  <si>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</si>
  <si>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</si>
  <si>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</si>
  <si>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</si>
  <si>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</si>
  <si>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</si>
  <si>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</si>
  <si>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</si>
  <si>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</si>
  <si>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M1</t>
  </si>
  <si>
    <t>RE-601067</t>
  </si>
  <si>
    <t>V 07</t>
  </si>
  <si>
    <t>MOTOR 1 CV 4 POLOS</t>
  </si>
  <si>
    <t>REDUTOR VÁLVULA ROTATIVA 6 - CSC 2</t>
  </si>
  <si>
    <t>OS Nº 5898 - GOLD</t>
  </si>
  <si>
    <t>RE-601062</t>
  </si>
  <si>
    <t>REDUTOR VÁLVULA ROTATIVA 1 - FEIXE 1</t>
  </si>
  <si>
    <t>OS Nº 5903 - GOLD</t>
  </si>
  <si>
    <t>POSSUI UM MOTOR DE VENTILAÇÃO FORÇADA DE 0,5 CV
OS Nº 5904 - GOLD</t>
  </si>
  <si>
    <t>RE-631514</t>
  </si>
  <si>
    <t>SEW</t>
  </si>
  <si>
    <t>KH87/T</t>
  </si>
  <si>
    <t>MOTOR 12,5 CV 4 POLOS</t>
  </si>
  <si>
    <t>REDUTOR PENEIRA CLAS. DE DISCOS PCDD/32 01 (ME631514)</t>
  </si>
  <si>
    <t>OS Nº 5960 - GOLD</t>
  </si>
  <si>
    <t>RE-631515</t>
  </si>
  <si>
    <t>REDUTOR DA PENEIRA CLAS. DE DISCOS PCDD/32 02</t>
  </si>
  <si>
    <t>OS Nº 5957 - GOLD</t>
  </si>
  <si>
    <t>POSSUI UM MOTOR DE VENTILAÇÃO FORÇADA DE 0,5 CV
OS Nº 5952 - GOLD</t>
  </si>
  <si>
    <t>POSSUI UM MOTOR DE VENTILAÇÃO FORÇADA DE 0,5 CV
OS Nº 5922 - GOLD</t>
  </si>
  <si>
    <t>POSSUI UM MOTOR DE VENTILAÇÃO FORÇADA DE 0,5 CV
OS Nº 5894 - GOLD</t>
  </si>
  <si>
    <t>POSSUI UM MOTOR DE VENTILAÇÃO FORÇADA DE 0,5 CV
OS Nº 5941 - GOLD</t>
  </si>
  <si>
    <t>POSSUI UM MOTOR DE VENTILAÇÃO FORÇADA DE 0,5 CV
OS Nº 5942 - GOLD</t>
  </si>
  <si>
    <t>POSSUI UM MOTOR DE VENTILAÇÃO FORÇADA DE 0,5 CV
OS Nº 5900 - GOLD</t>
  </si>
  <si>
    <t>RE-631517</t>
  </si>
  <si>
    <t>V09</t>
  </si>
  <si>
    <t>REDUTOR DA TRANSP. DE CORREIA TCD/48" 26 (ME631517)</t>
  </si>
  <si>
    <t>OS Nº 5876 - GOLD</t>
  </si>
  <si>
    <t>RE-601070</t>
  </si>
  <si>
    <t>FA 77</t>
  </si>
  <si>
    <t>MOTOR 5 CV 4 POLOS SEW</t>
  </si>
  <si>
    <t>REDUTOR VÁLVULA ROTATIVA 9 - CSC 5</t>
  </si>
  <si>
    <t>OS Nº 5938 - GOLD</t>
  </si>
  <si>
    <t>RE-601069</t>
  </si>
  <si>
    <t>REDUTOR VÁLVULA ROTATIVA 8 - CSC 4</t>
  </si>
  <si>
    <t>OS Nº 5924 - GOLD</t>
  </si>
  <si>
    <t xml:space="preserve">RE- </t>
  </si>
  <si>
    <t>OS Nº 5920 - GOLD</t>
  </si>
  <si>
    <t>RE-601242</t>
  </si>
  <si>
    <t>OS Nº 5962 - GOLD</t>
  </si>
  <si>
    <t>RE-601129</t>
  </si>
  <si>
    <t>V 06</t>
  </si>
  <si>
    <t>ISO VG 221</t>
  </si>
  <si>
    <t xml:space="preserve"> V58</t>
  </si>
  <si>
    <t>COS7531/06</t>
  </si>
  <si>
    <t>OS Nº 6056 - GOLD</t>
  </si>
  <si>
    <t>MOTOR 3 CV 4 POLOS</t>
  </si>
  <si>
    <t>REDUTOR DO MOTOR DA VALVULA ROTATIVA 13 - MULTICICLONE</t>
  </si>
  <si>
    <t>OS Nº 6049 - GOLD</t>
  </si>
  <si>
    <t>S/TAG</t>
  </si>
  <si>
    <t>OS Nº 6047 - GOLD</t>
  </si>
  <si>
    <t>REDUTOR ROSCA TRANSPORTADORA DE FULIGEM 2 - PRÉ / ECO (ME601049)</t>
  </si>
  <si>
    <t>RE-601048</t>
  </si>
  <si>
    <t>SA 57</t>
  </si>
  <si>
    <t>MOTOR 0,75 CV 4 POLOS</t>
  </si>
  <si>
    <t>OS Nº 6046 - GOLD</t>
  </si>
  <si>
    <t>OS Nº 6040 - GOLD</t>
  </si>
  <si>
    <t>R 67</t>
  </si>
  <si>
    <t>MOTOR 1,5 CV 4 POLOS</t>
  </si>
  <si>
    <t>OS Nº 6039 - GOLD</t>
  </si>
  <si>
    <t>FA 57</t>
  </si>
  <si>
    <t>OS Nº 6037 - GOLD</t>
  </si>
  <si>
    <t>ME-601046</t>
  </si>
  <si>
    <t>PROMOEN</t>
  </si>
  <si>
    <t>SOPRADOR FULIGEM</t>
  </si>
  <si>
    <t>SRRP - P2</t>
  </si>
  <si>
    <t>S/I</t>
  </si>
  <si>
    <t>REDUTOR SOPRADOR DE FULIGEM RETRÁTIL SF-09 LE FEIXE</t>
  </si>
  <si>
    <t>SOPRADOR DE FULIGEM</t>
  </si>
  <si>
    <t>ME-601043</t>
  </si>
  <si>
    <t>REDUTOR SOPRADOR DE FULIGEM RETRÁTIL SF-08 LD FEIXE</t>
  </si>
  <si>
    <t>ME-601041</t>
  </si>
  <si>
    <t>REDUTOR SOPRADOR DE FULIGEM RETRÁTIL SF-07 LD SCREEN</t>
  </si>
  <si>
    <t>ME-601040</t>
  </si>
  <si>
    <t>REDUTOR SOPRADOR DE FULIGEM RETRÁTIL SF-06 LE SCREEN</t>
  </si>
  <si>
    <t>ME-601035</t>
  </si>
  <si>
    <t>REDUTOR SOPRADOR DE FULIGEM RETRÁTIL SF-04 LD - SUPER SEC / PRIM</t>
  </si>
  <si>
    <t>POSSUI UM MOTOR DE VENTILAÇÃO FORÇADA DE 0,5 CV
OS Nº 5946 - GOLD</t>
  </si>
  <si>
    <t>POSSUI UM MOTOR DE VENTILAÇÃO FORÇADA DE 0,5 CV
OS Nº 5913 - GOLD</t>
  </si>
  <si>
    <t>OS Nº 6036 - GOLD</t>
  </si>
  <si>
    <t>OS Nº 5995 - GOLD</t>
  </si>
  <si>
    <t>OS Nº 5993 - GOLD</t>
  </si>
  <si>
    <t>OS Nº 5991 - GOLD</t>
  </si>
  <si>
    <t>OS Nº 5989 - GOLD</t>
  </si>
  <si>
    <t>OS Nº 5987 - GOLD</t>
  </si>
  <si>
    <t>OS Nº 5985 - GOLD</t>
  </si>
  <si>
    <t>OS Nº 5983 - GOLD</t>
  </si>
  <si>
    <t>OS Nº 5981 - GOLD</t>
  </si>
  <si>
    <t>OS Nº 5979 - GOLD</t>
  </si>
  <si>
    <t>OS Nº 5977 - GOLD</t>
  </si>
  <si>
    <t>OS Nº 5975 - GOLD</t>
  </si>
  <si>
    <t>OS Nº 5973 - GOLD</t>
  </si>
  <si>
    <t>OS Nº 5971 - GOLD</t>
  </si>
  <si>
    <t>OS Nº 5969 - GOLD</t>
  </si>
  <si>
    <t>OS Nº 5967 - GOLD</t>
  </si>
  <si>
    <t>OS Nº 5965 - GOLD</t>
  </si>
  <si>
    <t>OS Nº</t>
  </si>
  <si>
    <t>MOTOR 20 CV 4 POLOS SEW</t>
  </si>
  <si>
    <t>OS Nº 6030 - GOLD</t>
  </si>
  <si>
    <t>REDUTOR PLANETARIO</t>
  </si>
  <si>
    <t>KAF77 - PPK2PH017/T</t>
  </si>
  <si>
    <t>MOTOR 5 CV - 04 POLOS SEW</t>
  </si>
  <si>
    <t>03 / 10</t>
  </si>
  <si>
    <t>OS Nº 6054 - GOLD</t>
  </si>
  <si>
    <t>REDUTOR DUPLO</t>
  </si>
  <si>
    <t>MOTOR 0,5 CV  - 04 POLOS</t>
  </si>
  <si>
    <t>ISO VG 220/320</t>
  </si>
  <si>
    <t>OS Nº 6028 - GOLD</t>
  </si>
  <si>
    <t>PLANETARIO PHF012T / KF87</t>
  </si>
  <si>
    <t>MOTOR 10 CV -  4 POLOS</t>
  </si>
  <si>
    <t>OS Nº 6023 - GOLD</t>
  </si>
  <si>
    <t>ME- 601079</t>
  </si>
  <si>
    <t>PLANETARIO PHF022T / KF87</t>
  </si>
  <si>
    <t>MOTOR 25 CV -  4 POLOS</t>
  </si>
  <si>
    <t>REDUTOR PLANETARIO ESTEIRA TRANSPORTADORA DE CINZAS 04</t>
  </si>
  <si>
    <t>OS Nº 6016 - GOLD</t>
  </si>
  <si>
    <t>ME- 601080</t>
  </si>
  <si>
    <t>REDUTOR PLANETARIO ESTEIRA TRANSPORTADORA DE CINZAS 05</t>
  </si>
  <si>
    <t>OS Nº 6021 - GOLD</t>
  </si>
  <si>
    <t>ME- 601078</t>
  </si>
  <si>
    <t>REDUTOR PLANETARIO ESTEIRA TRANSPORTADORA DE CINZAS 03</t>
  </si>
  <si>
    <t>OS Nº 6011 - GOLD</t>
  </si>
  <si>
    <t>ME- 601241</t>
  </si>
  <si>
    <t>MOTOR 15 CV -  4 POLOS</t>
  </si>
  <si>
    <t>OS Nº 6020 - GOLD</t>
  </si>
  <si>
    <t>REDUTOR PLANETARIO MOTOR TRANSPORTADOR CORRENTE ALIMENTAÇÃO C601013</t>
  </si>
  <si>
    <t>ME - 601049</t>
  </si>
  <si>
    <t>ME - 601245</t>
  </si>
  <si>
    <t>ME - 601073</t>
  </si>
  <si>
    <t>Coluna1</t>
  </si>
  <si>
    <t>BREVINI</t>
  </si>
  <si>
    <t>6054</t>
  </si>
  <si>
    <t>6023</t>
  </si>
  <si>
    <t>601079</t>
  </si>
  <si>
    <t>6016</t>
  </si>
  <si>
    <t>601080</t>
  </si>
  <si>
    <t>6021</t>
  </si>
  <si>
    <t>601078</t>
  </si>
  <si>
    <t>6011</t>
  </si>
  <si>
    <t>601241</t>
  </si>
  <si>
    <t>6020</t>
  </si>
  <si>
    <t>REDUTOR PRINCIPAL - OS Nº 6054 - GOLD</t>
  </si>
  <si>
    <t>REDUTOR PRINCIPAL - OS Nº 6016 - GOLD</t>
  </si>
  <si>
    <t>REDUTOR PRINCIPAL - OS Nº 6021 - GOLD</t>
  </si>
  <si>
    <t>REDUTOR PRINCIPAL - OS Nº 6011 - GOLD</t>
  </si>
  <si>
    <t>REDUTOR PRINCIPAL - OS Nº 6020 - GOLD</t>
  </si>
  <si>
    <t>REDUTOR PRINCIPAL - OS Nº 6023 - GOLD</t>
  </si>
  <si>
    <t>REDUTOR PRINCIPAL - OS Nº 6028 - GOLD</t>
  </si>
  <si>
    <t>FA87</t>
  </si>
  <si>
    <t>OS Nº 5954 - GOLD</t>
  </si>
  <si>
    <t>V07</t>
  </si>
  <si>
    <t>OS Nº 5936 - GOLD</t>
  </si>
  <si>
    <t>OS Nº 5934 - GOLD</t>
  </si>
  <si>
    <t>OS Nº 5931 - GOLD</t>
  </si>
  <si>
    <t>OS Nº 5929 - GOLD</t>
  </si>
  <si>
    <t>OS Nº 5927 - GOLD</t>
  </si>
  <si>
    <t>OS Nº 5911 - GOLD</t>
  </si>
  <si>
    <t>V56</t>
  </si>
  <si>
    <t>OS Nº 6034 - GOLD</t>
  </si>
  <si>
    <t>OS Nº 6025 - GOLD</t>
  </si>
  <si>
    <t>PLANETARIO PPK2PH017/T - KAF77</t>
  </si>
  <si>
    <t>REDUTOR PLANETARIO MOTOR TRANSP. CORRENTE RETIRADA CINZAS C601014</t>
  </si>
  <si>
    <t>OS Nº 6013 - GOLD</t>
  </si>
  <si>
    <t>REDUTOR PRINCIPAL - OS Nº 6013 - GOLD</t>
  </si>
  <si>
    <t>TOTAL DE EQUIPAMENTOS</t>
  </si>
  <si>
    <t>TOTAL EQUIP SEW</t>
  </si>
  <si>
    <t>TOTAL EQUIP PROMOEN</t>
  </si>
  <si>
    <t>TOTAL EQUIP WEG CESTARI</t>
  </si>
  <si>
    <t>TOTAL OUTROS</t>
  </si>
  <si>
    <t>MOTOR 4 CV - 4 POLOS</t>
  </si>
  <si>
    <t>V58</t>
  </si>
  <si>
    <t>REDUTOR ROSCA TRANSPORTADORA DE FULIGEM 2 - PRÉ / ECO</t>
  </si>
  <si>
    <t xml:space="preserve">	REDUTOR DA ROSCA TRANSPORTADORAS 02</t>
  </si>
  <si>
    <t>REDUTOR DA ROSCA TRANSPORTADORAS 03</t>
  </si>
  <si>
    <t>RE- 601068</t>
  </si>
  <si>
    <t>REDUTOR VÁLVULA ROTATIVA 7 - CSC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</si>
</sst>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4" borderId="0" xfId="0" applyNumberFormat="1" applyFont="1" applyFill="1" applyBorder="1" applyAlignment="1">
      <alignment horizontal="center" vertical="center" wrapText="1"/>
    </xf>
    <xf numFmtId="16" fontId="0" fillId="0" borderId="0" xfId="0" quotePrefix="1" applyNumberFormat="1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S81" headerRowDxfId="24" dataDxfId="23" totalsRowDxfId="22">
  <autoFilter ref="A1:S81" xr:uid="{00000000-000C-0000-FFFF-FFFF00000000}"/>
  <sortState xmlns:xlrd2="http://schemas.microsoft.com/office/spreadsheetml/2017/richdata2" ref="A2:R73">
    <sortCondition ref="A1:A73"/>
  </sortState>
  <tableColumns count="19">
    <tableColumn id="1" xr3:uid="{00000000-0010-0000-0000-000001000000}" name="TAG" dataDxfId="21"/>
    <tableColumn id="19" xr3:uid="{726DCCAF-1417-462D-BD10-A9FED761ADBD}" name="Coluna1" dataDxfId="20">
      <calculatedColumnFormula>RIGHT(TabelaEquipamentos[[#This Row],[TAG]],6)</calculatedColumnFormula>
    </tableColumn>
    <tableColumn id="2" xr3:uid="{00000000-0010-0000-0000-000002000000}" name="Fabricante" dataDxfId="19"/>
    <tableColumn id="3" xr3:uid="{00000000-0010-0000-0000-000003000000}" name="Tipo" dataDxfId="18"/>
    <tableColumn id="4" xr3:uid="{00000000-0010-0000-0000-000004000000}" name="Modelo" dataDxfId="17"/>
    <tableColumn id="5" xr3:uid="{00000000-0010-0000-0000-000005000000}" name="Potencia" dataDxfId="16"/>
    <tableColumn id="6" xr3:uid="{00000000-0010-0000-0000-000006000000}" name="Relacao" dataDxfId="15"/>
    <tableColumn id="7" xr3:uid="{00000000-0010-0000-0000-000007000000}" name="RPM" dataDxfId="14"/>
    <tableColumn id="8" xr3:uid="{00000000-0010-0000-0000-000008000000}" name="Montagem" dataDxfId="13"/>
    <tableColumn id="9" xr3:uid="{00000000-0010-0000-0000-000009000000}" name="Lubrificante" dataDxfId="12"/>
    <tableColumn id="10" xr3:uid="{00000000-0010-0000-0000-00000A000000}" name="Quantidade_Oleo" dataDxfId="11"/>
    <tableColumn id="11" xr3:uid="{00000000-0010-0000-0000-00000B000000}" name="Local" dataDxfId="10"/>
    <tableColumn id="12" xr3:uid="{00000000-0010-0000-0000-00000C000000}" name="Foto" dataDxfId="9"/>
    <tableColumn id="13" xr3:uid="{00000000-0010-0000-0000-00000D000000}" name="Lista_Pecas" dataDxfId="8"/>
    <tableColumn id="14" xr3:uid="{00000000-0010-0000-0000-00000E000000}" name="Manual" dataDxfId="7"/>
    <tableColumn id="15" xr3:uid="{00000000-0010-0000-0000-00000F000000}" name="Certificado" dataDxfId="6"/>
    <tableColumn id="16" xr3:uid="{00000000-0010-0000-0000-000010000000}" name="Fotos_Adicionais" dataDxfId="5"/>
    <tableColumn id="17" xr3:uid="{00000000-0010-0000-0000-000011000000}" name="Observacoes" dataDxfId="4"/>
    <tableColumn id="18" xr3:uid="{AB2FA0CA-E231-43A6-8D09-AC8193B67686}" name="OS Nº" dataDxfId="3" totalsRowDxfId="2">
      <calculatedColumnFormula>LEFT(RIGHT(TabelaEquipamentos[[#This Row],[Observacoes]],11),4)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7"/>
  <sheetViews>
    <sheetView tabSelected="1" zoomScale="85" zoomScaleNormal="85" workbookViewId="0">
      <pane xSplit="6" ySplit="1" topLeftCell="K2" activePane="bottomRight" state="frozen"/>
      <selection pane="topRight" activeCell="F1" sqref="F1"/>
      <selection pane="bottomLeft" activeCell="A2" sqref="A2"/>
      <selection pane="bottomRight" activeCell="M2" sqref="M2"/>
    </sheetView>
  </sheetViews>
  <sheetFormatPr defaultRowHeight="14.25"/>
  <cols>
    <col min="1" max="1" width="25.375" style="2" bestFit="1" customWidth="1"/>
    <col min="2" max="2" width="13.375" style="2" hidden="1" customWidth="1"/>
    <col min="3" max="3" width="15.375" style="2" customWidth="1"/>
    <col min="4" max="4" width="17.125" style="2" customWidth="1"/>
    <col min="5" max="5" width="16.625" style="2" customWidth="1"/>
    <col min="6" max="6" width="15.625" style="2" customWidth="1"/>
    <col min="7" max="7" width="12.125" style="2" customWidth="1"/>
    <col min="8" max="8" width="8.25" style="2" customWidth="1"/>
    <col min="9" max="9" width="13.625" style="2" customWidth="1"/>
    <col min="10" max="10" width="15.125" style="2" customWidth="1"/>
    <col min="11" max="11" width="16.75" style="2" customWidth="1"/>
    <col min="12" max="12" width="21.875" style="2" customWidth="1"/>
    <col min="13" max="13" width="12.875" style="2" customWidth="1"/>
    <col min="14" max="14" width="16.125" style="2" bestFit="1" customWidth="1"/>
    <col min="15" max="15" width="11.75" style="2" bestFit="1" customWidth="1"/>
    <col min="16" max="16" width="14.875" style="2" bestFit="1" customWidth="1"/>
    <col min="17" max="17" width="20.125" style="2" bestFit="1" customWidth="1"/>
    <col min="18" max="18" width="32" style="2" customWidth="1"/>
    <col min="19" max="19" width="10.5" style="2" bestFit="1" customWidth="1"/>
    <col min="20" max="16384" width="9" style="2"/>
  </cols>
  <sheetData>
    <row r="1" spans="1:19" ht="24" customHeight="1">
      <c r="A1" s="1" t="s">
        <v>0</v>
      </c>
      <c r="B1" s="1" t="s">
        <v>231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2" t="s">
        <v>198</v>
      </c>
    </row>
    <row r="2" spans="1:19" ht="28.5">
      <c r="A2" s="4" t="s">
        <v>138</v>
      </c>
      <c r="B2" s="4" t="str">
        <f>RIGHT(TabelaEquipamentos[[#This Row],[TAG]],6)</f>
        <v xml:space="preserve">RE- </v>
      </c>
      <c r="C2" s="3" t="s">
        <v>36</v>
      </c>
      <c r="D2" s="3" t="s">
        <v>37</v>
      </c>
      <c r="E2" s="3" t="s">
        <v>103</v>
      </c>
      <c r="F2" s="3" t="s">
        <v>104</v>
      </c>
      <c r="G2" s="3">
        <v>151</v>
      </c>
      <c r="H2" s="3"/>
      <c r="I2" s="3"/>
      <c r="J2" s="3" t="s">
        <v>41</v>
      </c>
      <c r="K2" s="3">
        <v>5.75</v>
      </c>
      <c r="L2" s="3" t="s">
        <v>136</v>
      </c>
      <c r="M2" s="3"/>
      <c r="N2" s="3"/>
      <c r="O2" s="3"/>
      <c r="P2" s="3"/>
      <c r="Q2" s="3"/>
      <c r="R2" s="3" t="s">
        <v>139</v>
      </c>
      <c r="S2" s="2" t="str">
        <f>LEFT(RIGHT(TabelaEquipamentos[[#This Row],[Observacoes]],11),4)</f>
        <v>5920</v>
      </c>
    </row>
    <row r="3" spans="1:19" ht="42.75">
      <c r="A3" s="3" t="s">
        <v>80</v>
      </c>
      <c r="B3" s="3" t="str">
        <f>RIGHT(TabelaEquipamentos[[#This Row],[TAG]],6)</f>
        <v>601011</v>
      </c>
      <c r="C3" s="3" t="s">
        <v>36</v>
      </c>
      <c r="D3" s="3" t="s">
        <v>37</v>
      </c>
      <c r="E3" s="3" t="s">
        <v>81</v>
      </c>
      <c r="F3" s="3" t="s">
        <v>82</v>
      </c>
      <c r="G3" s="3">
        <v>180.35</v>
      </c>
      <c r="H3" s="3">
        <v>1750</v>
      </c>
      <c r="I3" s="3" t="s">
        <v>101</v>
      </c>
      <c r="J3" s="3" t="s">
        <v>41</v>
      </c>
      <c r="K3" s="3" t="s">
        <v>83</v>
      </c>
      <c r="L3" s="3" t="s">
        <v>84</v>
      </c>
      <c r="M3" s="3"/>
      <c r="N3" s="3"/>
      <c r="O3" s="3"/>
      <c r="P3" s="3"/>
      <c r="Q3" s="3"/>
      <c r="R3" s="3" t="s">
        <v>125</v>
      </c>
      <c r="S3" s="2" t="str">
        <f>LEFT(RIGHT(TabelaEquipamentos[[#This Row],[Observacoes]],11),4)</f>
        <v>5900</v>
      </c>
    </row>
    <row r="4" spans="1:19" ht="42.75">
      <c r="A4" s="3" t="s">
        <v>85</v>
      </c>
      <c r="B4" s="3" t="str">
        <f>RIGHT(TabelaEquipamentos[[#This Row],[TAG]],6)</f>
        <v>601012</v>
      </c>
      <c r="C4" s="3" t="s">
        <v>36</v>
      </c>
      <c r="D4" s="3" t="s">
        <v>37</v>
      </c>
      <c r="E4" s="3" t="s">
        <v>81</v>
      </c>
      <c r="F4" s="3" t="s">
        <v>82</v>
      </c>
      <c r="G4" s="3">
        <v>180.35</v>
      </c>
      <c r="H4" s="3">
        <v>1750</v>
      </c>
      <c r="I4" s="3" t="s">
        <v>101</v>
      </c>
      <c r="J4" s="3" t="s">
        <v>41</v>
      </c>
      <c r="K4" s="3" t="s">
        <v>83</v>
      </c>
      <c r="L4" s="3" t="s">
        <v>93</v>
      </c>
      <c r="M4" s="3"/>
      <c r="N4" s="3"/>
      <c r="O4" s="3"/>
      <c r="P4" s="3"/>
      <c r="Q4" s="3"/>
      <c r="R4" s="3" t="s">
        <v>121</v>
      </c>
      <c r="S4" s="2" t="str">
        <f>LEFT(RIGHT(TabelaEquipamentos[[#This Row],[Observacoes]],11),4)</f>
        <v>5922</v>
      </c>
    </row>
    <row r="5" spans="1:19" ht="42.75">
      <c r="A5" s="3" t="s">
        <v>86</v>
      </c>
      <c r="B5" s="3" t="str">
        <f>RIGHT(TabelaEquipamentos[[#This Row],[TAG]],6)</f>
        <v>601013</v>
      </c>
      <c r="C5" s="3" t="s">
        <v>36</v>
      </c>
      <c r="D5" s="3" t="s">
        <v>37</v>
      </c>
      <c r="E5" s="3" t="s">
        <v>81</v>
      </c>
      <c r="F5" s="3" t="s">
        <v>82</v>
      </c>
      <c r="G5" s="3">
        <v>180.35</v>
      </c>
      <c r="H5" s="3">
        <v>1750</v>
      </c>
      <c r="I5" s="3" t="s">
        <v>101</v>
      </c>
      <c r="J5" s="3" t="s">
        <v>41</v>
      </c>
      <c r="K5" s="3" t="s">
        <v>83</v>
      </c>
      <c r="L5" s="3" t="s">
        <v>94</v>
      </c>
      <c r="M5" s="3"/>
      <c r="N5" s="3"/>
      <c r="O5" s="3"/>
      <c r="P5" s="3"/>
      <c r="Q5" s="3"/>
      <c r="R5" s="3" t="s">
        <v>124</v>
      </c>
      <c r="S5" s="2" t="str">
        <f>LEFT(RIGHT(TabelaEquipamentos[[#This Row],[Observacoes]],11),4)</f>
        <v>5942</v>
      </c>
    </row>
    <row r="6" spans="1:19" ht="42.75">
      <c r="A6" s="3" t="s">
        <v>87</v>
      </c>
      <c r="B6" s="3" t="str">
        <f>RIGHT(TabelaEquipamentos[[#This Row],[TAG]],6)</f>
        <v>601014</v>
      </c>
      <c r="C6" s="3" t="s">
        <v>36</v>
      </c>
      <c r="D6" s="3" t="s">
        <v>37</v>
      </c>
      <c r="E6" s="3" t="s">
        <v>81</v>
      </c>
      <c r="F6" s="3" t="s">
        <v>82</v>
      </c>
      <c r="G6" s="3">
        <v>180.35</v>
      </c>
      <c r="H6" s="3">
        <v>1750</v>
      </c>
      <c r="I6" s="3" t="s">
        <v>101</v>
      </c>
      <c r="J6" s="3" t="s">
        <v>41</v>
      </c>
      <c r="K6" s="3" t="s">
        <v>83</v>
      </c>
      <c r="L6" s="3" t="s">
        <v>95</v>
      </c>
      <c r="M6" s="3"/>
      <c r="N6" s="3"/>
      <c r="O6" s="3"/>
      <c r="P6" s="3"/>
      <c r="Q6" s="3"/>
      <c r="R6" s="3" t="s">
        <v>122</v>
      </c>
      <c r="S6" s="2" t="str">
        <f>LEFT(RIGHT(TabelaEquipamentos[[#This Row],[Observacoes]],11),4)</f>
        <v>5894</v>
      </c>
    </row>
    <row r="7" spans="1:19" ht="42.75">
      <c r="A7" s="3" t="s">
        <v>88</v>
      </c>
      <c r="B7" s="3" t="str">
        <f>RIGHT(TabelaEquipamentos[[#This Row],[TAG]],6)</f>
        <v>601015</v>
      </c>
      <c r="C7" s="3" t="s">
        <v>36</v>
      </c>
      <c r="D7" s="3" t="s">
        <v>37</v>
      </c>
      <c r="E7" s="3" t="s">
        <v>81</v>
      </c>
      <c r="F7" s="3" t="s">
        <v>82</v>
      </c>
      <c r="G7" s="3">
        <v>180.35</v>
      </c>
      <c r="H7" s="3">
        <v>1750</v>
      </c>
      <c r="I7" s="3" t="s">
        <v>101</v>
      </c>
      <c r="J7" s="3" t="s">
        <v>41</v>
      </c>
      <c r="K7" s="3" t="s">
        <v>83</v>
      </c>
      <c r="L7" s="3" t="s">
        <v>96</v>
      </c>
      <c r="M7" s="3"/>
      <c r="N7" s="3"/>
      <c r="O7" s="3"/>
      <c r="P7" s="3"/>
      <c r="Q7" s="3"/>
      <c r="R7" s="3" t="s">
        <v>120</v>
      </c>
      <c r="S7" s="2" t="str">
        <f>LEFT(RIGHT(TabelaEquipamentos[[#This Row],[Observacoes]],11),4)</f>
        <v>5952</v>
      </c>
    </row>
    <row r="8" spans="1:19" ht="42.75">
      <c r="A8" s="3" t="s">
        <v>89</v>
      </c>
      <c r="B8" s="3" t="str">
        <f>RIGHT(TabelaEquipamentos[[#This Row],[TAG]],6)</f>
        <v>601016</v>
      </c>
      <c r="C8" s="3" t="s">
        <v>36</v>
      </c>
      <c r="D8" s="3" t="s">
        <v>37</v>
      </c>
      <c r="E8" s="3" t="s">
        <v>81</v>
      </c>
      <c r="F8" s="3" t="s">
        <v>82</v>
      </c>
      <c r="G8" s="3">
        <v>180.35</v>
      </c>
      <c r="H8" s="3">
        <v>1750</v>
      </c>
      <c r="I8" s="3" t="s">
        <v>101</v>
      </c>
      <c r="J8" s="3" t="s">
        <v>41</v>
      </c>
      <c r="K8" s="3" t="s">
        <v>83</v>
      </c>
      <c r="L8" s="3" t="s">
        <v>97</v>
      </c>
      <c r="M8" s="3"/>
      <c r="N8" s="3"/>
      <c r="O8" s="3"/>
      <c r="P8" s="3"/>
      <c r="Q8" s="3"/>
      <c r="R8" s="3" t="s">
        <v>179</v>
      </c>
      <c r="S8" s="2" t="str">
        <f>LEFT(RIGHT(TabelaEquipamentos[[#This Row],[Observacoes]],11),4)</f>
        <v>5946</v>
      </c>
    </row>
    <row r="9" spans="1:19" ht="42.75">
      <c r="A9" s="3" t="s">
        <v>90</v>
      </c>
      <c r="B9" s="3" t="str">
        <f>RIGHT(TabelaEquipamentos[[#This Row],[TAG]],6)</f>
        <v>601017</v>
      </c>
      <c r="C9" s="3" t="s">
        <v>36</v>
      </c>
      <c r="D9" s="3" t="s">
        <v>37</v>
      </c>
      <c r="E9" s="3" t="s">
        <v>81</v>
      </c>
      <c r="F9" s="3" t="s">
        <v>82</v>
      </c>
      <c r="G9" s="3">
        <v>180.35</v>
      </c>
      <c r="H9" s="3">
        <v>1750</v>
      </c>
      <c r="I9" s="3" t="s">
        <v>101</v>
      </c>
      <c r="J9" s="3" t="s">
        <v>41</v>
      </c>
      <c r="K9" s="3" t="s">
        <v>83</v>
      </c>
      <c r="L9" s="3" t="s">
        <v>98</v>
      </c>
      <c r="M9" s="3"/>
      <c r="N9" s="3"/>
      <c r="O9" s="3"/>
      <c r="P9" s="3"/>
      <c r="Q9" s="3"/>
      <c r="R9" s="3" t="s">
        <v>110</v>
      </c>
      <c r="S9" s="2" t="str">
        <f>LEFT(RIGHT(TabelaEquipamentos[[#This Row],[Observacoes]],11),4)</f>
        <v>5904</v>
      </c>
    </row>
    <row r="10" spans="1:19" ht="42.75">
      <c r="A10" s="3" t="s">
        <v>91</v>
      </c>
      <c r="B10" s="3" t="str">
        <f>RIGHT(TabelaEquipamentos[[#This Row],[TAG]],6)</f>
        <v>601018</v>
      </c>
      <c r="C10" s="3" t="s">
        <v>36</v>
      </c>
      <c r="D10" s="3" t="s">
        <v>37</v>
      </c>
      <c r="E10" s="3" t="s">
        <v>81</v>
      </c>
      <c r="F10" s="3" t="s">
        <v>82</v>
      </c>
      <c r="G10" s="3">
        <v>180.35</v>
      </c>
      <c r="H10" s="3">
        <v>1750</v>
      </c>
      <c r="I10" s="3" t="s">
        <v>101</v>
      </c>
      <c r="J10" s="3" t="s">
        <v>41</v>
      </c>
      <c r="K10" s="3" t="s">
        <v>83</v>
      </c>
      <c r="L10" s="3" t="s">
        <v>99</v>
      </c>
      <c r="M10" s="3"/>
      <c r="N10" s="3"/>
      <c r="O10" s="3"/>
      <c r="P10" s="3"/>
      <c r="Q10" s="3"/>
      <c r="R10" s="3" t="s">
        <v>180</v>
      </c>
      <c r="S10" s="2" t="str">
        <f>LEFT(RIGHT(TabelaEquipamentos[[#This Row],[Observacoes]],11),4)</f>
        <v>5913</v>
      </c>
    </row>
    <row r="11" spans="1:19" ht="42.75">
      <c r="A11" s="3" t="s">
        <v>92</v>
      </c>
      <c r="B11" s="3" t="str">
        <f>RIGHT(TabelaEquipamentos[[#This Row],[TAG]],6)</f>
        <v>601019</v>
      </c>
      <c r="C11" s="3" t="s">
        <v>36</v>
      </c>
      <c r="D11" s="3" t="s">
        <v>37</v>
      </c>
      <c r="E11" s="3" t="s">
        <v>81</v>
      </c>
      <c r="F11" s="3" t="s">
        <v>82</v>
      </c>
      <c r="G11" s="3">
        <v>180.35</v>
      </c>
      <c r="H11" s="3">
        <v>1750</v>
      </c>
      <c r="I11" s="3" t="s">
        <v>101</v>
      </c>
      <c r="J11" s="3" t="s">
        <v>41</v>
      </c>
      <c r="K11" s="3" t="s">
        <v>83</v>
      </c>
      <c r="L11" s="3" t="s">
        <v>100</v>
      </c>
      <c r="M11" s="3"/>
      <c r="N11" s="3"/>
      <c r="O11" s="3"/>
      <c r="P11" s="3"/>
      <c r="Q11" s="3"/>
      <c r="R11" s="3" t="s">
        <v>123</v>
      </c>
      <c r="S11" s="2" t="str">
        <f>LEFT(RIGHT(TabelaEquipamentos[[#This Row],[Observacoes]],11),4)</f>
        <v>5941</v>
      </c>
    </row>
    <row r="12" spans="1:19" ht="57">
      <c r="A12" s="3" t="s">
        <v>154</v>
      </c>
      <c r="B12" s="3" t="str">
        <f>RIGHT(TabelaEquipamentos[[#This Row],[TAG]],6)</f>
        <v>601048</v>
      </c>
      <c r="C12" s="3" t="s">
        <v>36</v>
      </c>
      <c r="D12" s="3" t="s">
        <v>37</v>
      </c>
      <c r="E12" s="3" t="s">
        <v>145</v>
      </c>
      <c r="F12" s="3" t="s">
        <v>148</v>
      </c>
      <c r="G12" s="3">
        <v>118.3</v>
      </c>
      <c r="H12" s="3"/>
      <c r="I12" s="3"/>
      <c r="J12" s="3" t="s">
        <v>41</v>
      </c>
      <c r="K12" s="3">
        <v>9</v>
      </c>
      <c r="L12" s="3" t="s">
        <v>153</v>
      </c>
      <c r="M12" s="3"/>
      <c r="N12" s="3"/>
      <c r="O12" s="3"/>
      <c r="P12" s="3"/>
      <c r="Q12" s="3"/>
      <c r="R12" s="3" t="s">
        <v>152</v>
      </c>
      <c r="S12" s="2" t="str">
        <f>LEFT(RIGHT(TabelaEquipamentos[[#This Row],[Observacoes]],11),4)</f>
        <v>6047</v>
      </c>
    </row>
    <row r="13" spans="1:19" ht="28.5">
      <c r="A13" s="3" t="s">
        <v>107</v>
      </c>
      <c r="B13" s="3" t="str">
        <f>RIGHT(TabelaEquipamentos[[#This Row],[TAG]],6)</f>
        <v>601062</v>
      </c>
      <c r="C13" s="3" t="s">
        <v>36</v>
      </c>
      <c r="D13" s="3" t="s">
        <v>37</v>
      </c>
      <c r="E13" s="3" t="s">
        <v>103</v>
      </c>
      <c r="F13" s="3" t="s">
        <v>104</v>
      </c>
      <c r="G13" s="3">
        <v>151</v>
      </c>
      <c r="H13" s="3"/>
      <c r="I13" s="3"/>
      <c r="J13" s="3" t="s">
        <v>41</v>
      </c>
      <c r="K13" s="3">
        <v>5.75</v>
      </c>
      <c r="L13" s="3" t="s">
        <v>108</v>
      </c>
      <c r="M13" s="3"/>
      <c r="N13" s="3"/>
      <c r="O13" s="3"/>
      <c r="P13" s="3"/>
      <c r="Q13" s="3"/>
      <c r="R13" s="3" t="s">
        <v>109</v>
      </c>
      <c r="S13" s="2" t="str">
        <f>LEFT(RIGHT(TabelaEquipamentos[[#This Row],[Observacoes]],11),4)</f>
        <v>5903</v>
      </c>
    </row>
    <row r="14" spans="1:19" ht="28.5">
      <c r="A14" s="3" t="s">
        <v>102</v>
      </c>
      <c r="B14" s="3" t="str">
        <f>RIGHT(TabelaEquipamentos[[#This Row],[TAG]],6)</f>
        <v>601067</v>
      </c>
      <c r="C14" s="3" t="s">
        <v>36</v>
      </c>
      <c r="D14" s="3" t="s">
        <v>37</v>
      </c>
      <c r="E14" s="3" t="s">
        <v>103</v>
      </c>
      <c r="F14" s="3" t="s">
        <v>104</v>
      </c>
      <c r="G14" s="3">
        <v>151</v>
      </c>
      <c r="H14" s="3"/>
      <c r="I14" s="3"/>
      <c r="J14" s="3" t="s">
        <v>41</v>
      </c>
      <c r="K14" s="3">
        <v>5.75</v>
      </c>
      <c r="L14" s="3" t="s">
        <v>105</v>
      </c>
      <c r="M14" s="3"/>
      <c r="N14" s="3"/>
      <c r="O14" s="3"/>
      <c r="P14" s="3"/>
      <c r="Q14" s="3"/>
      <c r="R14" s="3" t="s">
        <v>106</v>
      </c>
      <c r="S14" s="2" t="str">
        <f>LEFT(RIGHT(TabelaEquipamentos[[#This Row],[Observacoes]],11),4)</f>
        <v>5898</v>
      </c>
    </row>
    <row r="15" spans="1:19" ht="28.5">
      <c r="A15" s="3" t="s">
        <v>135</v>
      </c>
      <c r="B15" s="3" t="str">
        <f>RIGHT(TabelaEquipamentos[[#This Row],[TAG]],6)</f>
        <v>601069</v>
      </c>
      <c r="C15" s="3" t="s">
        <v>36</v>
      </c>
      <c r="D15" s="3" t="s">
        <v>37</v>
      </c>
      <c r="E15" s="3" t="s">
        <v>103</v>
      </c>
      <c r="F15" s="3" t="s">
        <v>104</v>
      </c>
      <c r="G15" s="3">
        <v>151</v>
      </c>
      <c r="H15" s="3"/>
      <c r="I15" s="3"/>
      <c r="J15" s="3" t="s">
        <v>41</v>
      </c>
      <c r="K15" s="3">
        <v>5.75</v>
      </c>
      <c r="L15" s="3" t="s">
        <v>136</v>
      </c>
      <c r="M15" s="3"/>
      <c r="N15" s="3"/>
      <c r="O15" s="3"/>
      <c r="P15" s="3"/>
      <c r="Q15" s="3"/>
      <c r="R15" s="3" t="s">
        <v>137</v>
      </c>
      <c r="S15" s="2" t="str">
        <f>LEFT(RIGHT(TabelaEquipamentos[[#This Row],[Observacoes]],11),4)</f>
        <v>5924</v>
      </c>
    </row>
    <row r="16" spans="1:19" ht="28.5">
      <c r="A16" s="3" t="s">
        <v>130</v>
      </c>
      <c r="B16" s="3" t="str">
        <f>RIGHT(TabelaEquipamentos[[#This Row],[TAG]],6)</f>
        <v>601070</v>
      </c>
      <c r="C16" s="3" t="s">
        <v>112</v>
      </c>
      <c r="D16" s="3" t="s">
        <v>37</v>
      </c>
      <c r="E16" s="3" t="s">
        <v>131</v>
      </c>
      <c r="F16" s="3" t="s">
        <v>132</v>
      </c>
      <c r="G16" s="3"/>
      <c r="H16" s="3"/>
      <c r="I16" s="3"/>
      <c r="J16" s="3" t="s">
        <v>41</v>
      </c>
      <c r="K16" s="3">
        <v>5.9</v>
      </c>
      <c r="L16" s="3" t="s">
        <v>133</v>
      </c>
      <c r="M16" s="3"/>
      <c r="N16" s="3"/>
      <c r="O16" s="3"/>
      <c r="P16" s="3"/>
      <c r="Q16" s="3"/>
      <c r="R16" s="3" t="s">
        <v>134</v>
      </c>
      <c r="S16" s="2" t="str">
        <f>LEFT(RIGHT(TabelaEquipamentos[[#This Row],[Observacoes]],11),4)</f>
        <v>5938</v>
      </c>
    </row>
    <row r="17" spans="1:19" ht="42.75">
      <c r="A17" s="3" t="s">
        <v>142</v>
      </c>
      <c r="B17" s="3" t="str">
        <f>RIGHT(TabelaEquipamentos[[#This Row],[TAG]],6)</f>
        <v>601129</v>
      </c>
      <c r="C17" s="3" t="s">
        <v>36</v>
      </c>
      <c r="D17" s="3" t="s">
        <v>37</v>
      </c>
      <c r="E17" s="3" t="s">
        <v>143</v>
      </c>
      <c r="F17" s="3" t="s">
        <v>104</v>
      </c>
      <c r="G17" s="3">
        <v>155.05000000000001</v>
      </c>
      <c r="H17" s="3"/>
      <c r="I17" s="3"/>
      <c r="J17" s="3" t="s">
        <v>41</v>
      </c>
      <c r="K17" s="3">
        <v>3</v>
      </c>
      <c r="L17" s="3" t="s">
        <v>149</v>
      </c>
      <c r="M17" s="3"/>
      <c r="N17" s="3"/>
      <c r="O17" s="3"/>
      <c r="P17" s="3"/>
      <c r="Q17" s="3"/>
      <c r="R17" s="3" t="s">
        <v>150</v>
      </c>
      <c r="S17" s="2" t="str">
        <f>LEFT(RIGHT(TabelaEquipamentos[[#This Row],[Observacoes]],11),4)</f>
        <v>6049</v>
      </c>
    </row>
    <row r="18" spans="1:19" ht="28.5">
      <c r="A18" s="3" t="s">
        <v>140</v>
      </c>
      <c r="B18" s="3" t="str">
        <f>RIGHT(TabelaEquipamentos[[#This Row],[TAG]],6)</f>
        <v>601242</v>
      </c>
      <c r="C18" s="3" t="s">
        <v>112</v>
      </c>
      <c r="D18" s="3" t="s">
        <v>37</v>
      </c>
      <c r="E18" s="3" t="s">
        <v>131</v>
      </c>
      <c r="F18" s="3" t="s">
        <v>132</v>
      </c>
      <c r="G18" s="3"/>
      <c r="H18" s="3"/>
      <c r="I18" s="3"/>
      <c r="J18" s="3" t="s">
        <v>41</v>
      </c>
      <c r="K18" s="3">
        <v>5.9</v>
      </c>
      <c r="L18" s="3" t="s">
        <v>133</v>
      </c>
      <c r="M18" s="3"/>
      <c r="N18" s="3"/>
      <c r="O18" s="3"/>
      <c r="P18" s="3"/>
      <c r="Q18" s="3"/>
      <c r="R18" s="3" t="s">
        <v>141</v>
      </c>
      <c r="S18" s="2" t="str">
        <f>LEFT(RIGHT(TabelaEquipamentos[[#This Row],[Observacoes]],11),4)</f>
        <v>5962</v>
      </c>
    </row>
    <row r="19" spans="1:19" ht="28.5">
      <c r="A19" s="3" t="s">
        <v>53</v>
      </c>
      <c r="B19" s="3" t="str">
        <f>RIGHT(TabelaEquipamentos[[#This Row],[TAG]],6)</f>
        <v>631501</v>
      </c>
      <c r="C19" s="3" t="s">
        <v>36</v>
      </c>
      <c r="D19" s="3" t="s">
        <v>37</v>
      </c>
      <c r="E19" s="3" t="s">
        <v>45</v>
      </c>
      <c r="F19" s="3" t="s">
        <v>47</v>
      </c>
      <c r="G19" s="3">
        <v>41.4</v>
      </c>
      <c r="H19" s="3">
        <v>1750</v>
      </c>
      <c r="I19" s="3" t="s">
        <v>40</v>
      </c>
      <c r="J19" s="3" t="s">
        <v>41</v>
      </c>
      <c r="K19" s="3" t="s">
        <v>48</v>
      </c>
      <c r="L19" s="3" t="s">
        <v>55</v>
      </c>
      <c r="M19" s="3"/>
      <c r="N19" s="3"/>
      <c r="O19" s="3"/>
      <c r="P19" s="3"/>
      <c r="Q19" s="3"/>
      <c r="R19" s="3" t="s">
        <v>51</v>
      </c>
      <c r="S19" s="2" t="str">
        <f>LEFT(RIGHT(TabelaEquipamentos[[#This Row],[Observacoes]],11),4)</f>
        <v>5863</v>
      </c>
    </row>
    <row r="20" spans="1:19" ht="60" customHeight="1">
      <c r="A20" s="3" t="s">
        <v>44</v>
      </c>
      <c r="B20" s="3" t="str">
        <f>RIGHT(TabelaEquipamentos[[#This Row],[TAG]],6)</f>
        <v>631502</v>
      </c>
      <c r="C20" s="3" t="s">
        <v>36</v>
      </c>
      <c r="D20" s="3" t="s">
        <v>37</v>
      </c>
      <c r="E20" s="3" t="s">
        <v>45</v>
      </c>
      <c r="F20" s="3" t="s">
        <v>47</v>
      </c>
      <c r="G20" s="3">
        <v>41.4</v>
      </c>
      <c r="H20" s="3">
        <v>1750</v>
      </c>
      <c r="I20" s="3" t="s">
        <v>40</v>
      </c>
      <c r="J20" s="3" t="s">
        <v>41</v>
      </c>
      <c r="K20" s="3" t="s">
        <v>48</v>
      </c>
      <c r="L20" s="3" t="s">
        <v>50</v>
      </c>
      <c r="M20" s="3"/>
      <c r="N20" s="3"/>
      <c r="O20" s="3"/>
      <c r="P20" s="3"/>
      <c r="Q20" s="3"/>
      <c r="R20" s="3" t="s">
        <v>56</v>
      </c>
      <c r="S20" s="2" t="str">
        <f>LEFT(RIGHT(TabelaEquipamentos[[#This Row],[Observacoes]],11),4)</f>
        <v>5874</v>
      </c>
    </row>
    <row r="21" spans="1:19" ht="28.5">
      <c r="A21" s="3" t="s">
        <v>52</v>
      </c>
      <c r="B21" s="3" t="str">
        <f>RIGHT(TabelaEquipamentos[[#This Row],[TAG]],6)</f>
        <v>631503</v>
      </c>
      <c r="C21" s="3" t="s">
        <v>36</v>
      </c>
      <c r="D21" s="3" t="s">
        <v>37</v>
      </c>
      <c r="E21" s="3" t="s">
        <v>45</v>
      </c>
      <c r="F21" s="3" t="s">
        <v>47</v>
      </c>
      <c r="G21" s="3">
        <v>41.4</v>
      </c>
      <c r="H21" s="3">
        <v>1750</v>
      </c>
      <c r="I21" s="3" t="s">
        <v>40</v>
      </c>
      <c r="J21" s="3" t="s">
        <v>41</v>
      </c>
      <c r="K21" s="3" t="s">
        <v>48</v>
      </c>
      <c r="L21" s="3" t="s">
        <v>54</v>
      </c>
      <c r="M21" s="3"/>
      <c r="N21" s="3"/>
      <c r="O21" s="3"/>
      <c r="P21" s="3"/>
      <c r="Q21" s="3"/>
      <c r="R21" s="3" t="s">
        <v>57</v>
      </c>
      <c r="S21" s="2" t="str">
        <f>LEFT(RIGHT(TabelaEquipamentos[[#This Row],[Observacoes]],11),4)</f>
        <v>5880</v>
      </c>
    </row>
    <row r="22" spans="1:19" ht="28.5">
      <c r="A22" s="3" t="s">
        <v>58</v>
      </c>
      <c r="B22" s="3" t="str">
        <f>RIGHT(TabelaEquipamentos[[#This Row],[TAG]],6)</f>
        <v>631504</v>
      </c>
      <c r="C22" s="3" t="s">
        <v>36</v>
      </c>
      <c r="D22" s="3" t="s">
        <v>37</v>
      </c>
      <c r="E22" s="3" t="s">
        <v>45</v>
      </c>
      <c r="F22" s="3" t="s">
        <v>47</v>
      </c>
      <c r="G22" s="3">
        <v>41.4</v>
      </c>
      <c r="H22" s="3">
        <v>1750</v>
      </c>
      <c r="I22" s="3" t="s">
        <v>40</v>
      </c>
      <c r="J22" s="3" t="s">
        <v>41</v>
      </c>
      <c r="K22" s="3" t="s">
        <v>48</v>
      </c>
      <c r="L22" s="3" t="s">
        <v>59</v>
      </c>
      <c r="M22" s="3"/>
      <c r="N22" s="3"/>
      <c r="O22" s="3"/>
      <c r="P22" s="3"/>
      <c r="Q22" s="3"/>
      <c r="R22" s="3" t="s">
        <v>60</v>
      </c>
      <c r="S22" s="2" t="str">
        <f>LEFT(RIGHT(TabelaEquipamentos[[#This Row],[Observacoes]],11),4)</f>
        <v>5882</v>
      </c>
    </row>
    <row r="23" spans="1:19" ht="28.5">
      <c r="A23" s="3" t="s">
        <v>69</v>
      </c>
      <c r="B23" s="3" t="str">
        <f>RIGHT(TabelaEquipamentos[[#This Row],[TAG]],6)</f>
        <v>631508</v>
      </c>
      <c r="C23" s="3" t="s">
        <v>36</v>
      </c>
      <c r="D23" s="3" t="s">
        <v>37</v>
      </c>
      <c r="E23" s="3" t="s">
        <v>65</v>
      </c>
      <c r="F23" s="3" t="s">
        <v>72</v>
      </c>
      <c r="G23" s="3">
        <v>43.65</v>
      </c>
      <c r="H23" s="3">
        <v>1750</v>
      </c>
      <c r="I23" s="3" t="s">
        <v>40</v>
      </c>
      <c r="J23" s="3" t="s">
        <v>41</v>
      </c>
      <c r="K23" s="3" t="s">
        <v>42</v>
      </c>
      <c r="L23" s="3" t="s">
        <v>70</v>
      </c>
      <c r="M23" s="3"/>
      <c r="N23" s="3"/>
      <c r="O23" s="3"/>
      <c r="P23" s="3"/>
      <c r="Q23" s="3"/>
      <c r="R23" s="3" t="s">
        <v>71</v>
      </c>
      <c r="S23" s="2" t="str">
        <f>LEFT(RIGHT(TabelaEquipamentos[[#This Row],[Observacoes]],11),4)</f>
        <v>5865</v>
      </c>
    </row>
    <row r="24" spans="1:19" ht="28.5">
      <c r="A24" s="3" t="s">
        <v>73</v>
      </c>
      <c r="B24" s="3" t="str">
        <f>RIGHT(TabelaEquipamentos[[#This Row],[TAG]],6)</f>
        <v>631509</v>
      </c>
      <c r="C24" s="3" t="s">
        <v>36</v>
      </c>
      <c r="D24" s="3" t="s">
        <v>37</v>
      </c>
      <c r="E24" s="3" t="s">
        <v>65</v>
      </c>
      <c r="F24" s="3" t="s">
        <v>72</v>
      </c>
      <c r="G24" s="3">
        <v>43.65</v>
      </c>
      <c r="H24" s="3">
        <v>1750</v>
      </c>
      <c r="I24" s="3" t="s">
        <v>40</v>
      </c>
      <c r="J24" s="3" t="s">
        <v>41</v>
      </c>
      <c r="K24" s="3" t="s">
        <v>42</v>
      </c>
      <c r="L24" s="3" t="s">
        <v>74</v>
      </c>
      <c r="M24" s="3"/>
      <c r="N24" s="3"/>
      <c r="O24" s="3"/>
      <c r="P24" s="3"/>
      <c r="Q24" s="3"/>
      <c r="R24" s="3" t="s">
        <v>75</v>
      </c>
      <c r="S24" s="2" t="str">
        <f>LEFT(RIGHT(TabelaEquipamentos[[#This Row],[Observacoes]],11),4)</f>
        <v>5870</v>
      </c>
    </row>
    <row r="25" spans="1:19" ht="28.5">
      <c r="A25" s="3" t="s">
        <v>76</v>
      </c>
      <c r="B25" s="3" t="str">
        <f>RIGHT(TabelaEquipamentos[[#This Row],[TAG]],6)</f>
        <v>631512</v>
      </c>
      <c r="C25" s="3" t="s">
        <v>36</v>
      </c>
      <c r="D25" s="3" t="s">
        <v>37</v>
      </c>
      <c r="E25" s="3" t="s">
        <v>77</v>
      </c>
      <c r="F25" s="3" t="s">
        <v>62</v>
      </c>
      <c r="G25" s="3">
        <v>41.4</v>
      </c>
      <c r="H25" s="3">
        <v>1750</v>
      </c>
      <c r="I25" s="3" t="s">
        <v>40</v>
      </c>
      <c r="J25" s="3" t="s">
        <v>41</v>
      </c>
      <c r="K25" s="3" t="s">
        <v>48</v>
      </c>
      <c r="L25" s="3" t="s">
        <v>78</v>
      </c>
      <c r="M25" s="3"/>
      <c r="N25" s="3"/>
      <c r="O25" s="3"/>
      <c r="P25" s="3"/>
      <c r="Q25" s="3"/>
      <c r="R25" s="3" t="s">
        <v>79</v>
      </c>
      <c r="S25" s="2" t="str">
        <f>LEFT(RIGHT(TabelaEquipamentos[[#This Row],[Observacoes]],11),4)</f>
        <v>5878</v>
      </c>
    </row>
    <row r="26" spans="1:19" ht="28.5">
      <c r="A26" s="3" t="s">
        <v>39</v>
      </c>
      <c r="B26" s="3" t="str">
        <f>RIGHT(TabelaEquipamentos[[#This Row],[TAG]],6)</f>
        <v>631513</v>
      </c>
      <c r="C26" s="3" t="s">
        <v>36</v>
      </c>
      <c r="D26" s="3" t="s">
        <v>37</v>
      </c>
      <c r="E26" s="3" t="s">
        <v>46</v>
      </c>
      <c r="F26" s="3" t="s">
        <v>38</v>
      </c>
      <c r="G26" s="3">
        <v>43.65</v>
      </c>
      <c r="H26" s="3">
        <v>1750</v>
      </c>
      <c r="I26" s="3" t="s">
        <v>40</v>
      </c>
      <c r="J26" s="3" t="s">
        <v>41</v>
      </c>
      <c r="K26" s="3" t="s">
        <v>42</v>
      </c>
      <c r="L26" s="3" t="s">
        <v>49</v>
      </c>
      <c r="M26" s="3"/>
      <c r="N26" s="3"/>
      <c r="O26" s="3"/>
      <c r="P26" s="3"/>
      <c r="Q26" s="3"/>
      <c r="R26" s="3" t="s">
        <v>43</v>
      </c>
      <c r="S26" s="2" t="str">
        <f>LEFT(RIGHT(TabelaEquipamentos[[#This Row],[Observacoes]],11),4)</f>
        <v>5861</v>
      </c>
    </row>
    <row r="27" spans="1:19" ht="57">
      <c r="A27" s="3" t="s">
        <v>111</v>
      </c>
      <c r="B27" s="3" t="str">
        <f>RIGHT(TabelaEquipamentos[[#This Row],[TAG]],6)</f>
        <v>631514</v>
      </c>
      <c r="C27" s="3" t="s">
        <v>112</v>
      </c>
      <c r="D27" s="3" t="s">
        <v>37</v>
      </c>
      <c r="E27" s="3" t="s">
        <v>113</v>
      </c>
      <c r="F27" s="3" t="s">
        <v>114</v>
      </c>
      <c r="G27" s="3">
        <v>27.88</v>
      </c>
      <c r="H27" s="3"/>
      <c r="I27" s="3"/>
      <c r="J27" s="3" t="s">
        <v>41</v>
      </c>
      <c r="K27" s="3">
        <v>11</v>
      </c>
      <c r="L27" s="3" t="s">
        <v>115</v>
      </c>
      <c r="M27" s="3"/>
      <c r="N27" s="3"/>
      <c r="O27" s="3"/>
      <c r="P27" s="3"/>
      <c r="Q27" s="3"/>
      <c r="R27" s="3" t="s">
        <v>116</v>
      </c>
      <c r="S27" s="2" t="str">
        <f>LEFT(RIGHT(TabelaEquipamentos[[#This Row],[Observacoes]],11),4)</f>
        <v>5960</v>
      </c>
    </row>
    <row r="28" spans="1:19" ht="28.5">
      <c r="A28" s="3" t="s">
        <v>111</v>
      </c>
      <c r="B28" s="3" t="str">
        <f>RIGHT(TabelaEquipamentos[[#This Row],[TAG]],6)</f>
        <v>631514</v>
      </c>
      <c r="C28" s="3" t="s">
        <v>36</v>
      </c>
      <c r="D28" s="3" t="s">
        <v>37</v>
      </c>
      <c r="E28" s="3" t="s">
        <v>65</v>
      </c>
      <c r="F28" s="3" t="s">
        <v>66</v>
      </c>
      <c r="G28" s="3">
        <v>43.65</v>
      </c>
      <c r="H28" s="3">
        <v>1750</v>
      </c>
      <c r="I28" s="3" t="s">
        <v>40</v>
      </c>
      <c r="J28" s="3" t="s">
        <v>41</v>
      </c>
      <c r="K28" s="3" t="s">
        <v>42</v>
      </c>
      <c r="L28" s="3" t="s">
        <v>67</v>
      </c>
      <c r="M28" s="3"/>
      <c r="N28" s="3"/>
      <c r="O28" s="3"/>
      <c r="P28" s="3"/>
      <c r="Q28" s="3"/>
      <c r="R28" s="3" t="s">
        <v>68</v>
      </c>
      <c r="S28" s="2" t="str">
        <f>LEFT(RIGHT(TabelaEquipamentos[[#This Row],[Observacoes]],11),4)</f>
        <v>5867</v>
      </c>
    </row>
    <row r="29" spans="1:19" ht="42.75">
      <c r="A29" s="3" t="s">
        <v>117</v>
      </c>
      <c r="B29" s="3" t="str">
        <f>RIGHT(TabelaEquipamentos[[#This Row],[TAG]],6)</f>
        <v>631515</v>
      </c>
      <c r="C29" s="3" t="s">
        <v>112</v>
      </c>
      <c r="D29" s="3" t="s">
        <v>37</v>
      </c>
      <c r="E29" s="3" t="s">
        <v>113</v>
      </c>
      <c r="F29" s="3" t="s">
        <v>114</v>
      </c>
      <c r="G29" s="3">
        <v>27.88</v>
      </c>
      <c r="H29" s="3"/>
      <c r="I29" s="3"/>
      <c r="J29" s="3" t="s">
        <v>41</v>
      </c>
      <c r="K29" s="3">
        <v>11</v>
      </c>
      <c r="L29" s="3" t="s">
        <v>118</v>
      </c>
      <c r="M29" s="3"/>
      <c r="N29" s="3"/>
      <c r="O29" s="3"/>
      <c r="P29" s="3"/>
      <c r="Q29" s="3"/>
      <c r="R29" s="3" t="s">
        <v>119</v>
      </c>
      <c r="S29" s="2" t="str">
        <f>LEFT(RIGHT(TabelaEquipamentos[[#This Row],[Observacoes]],11),4)</f>
        <v>5957</v>
      </c>
    </row>
    <row r="30" spans="1:19" ht="28.5">
      <c r="A30" s="3" t="s">
        <v>61</v>
      </c>
      <c r="B30" s="3" t="str">
        <f>RIGHT(TabelaEquipamentos[[#This Row],[TAG]],6)</f>
        <v>631516</v>
      </c>
      <c r="C30" s="3" t="s">
        <v>36</v>
      </c>
      <c r="D30" s="3" t="s">
        <v>37</v>
      </c>
      <c r="E30" s="3" t="s">
        <v>45</v>
      </c>
      <c r="F30" s="3" t="s">
        <v>62</v>
      </c>
      <c r="G30" s="3">
        <v>41.4</v>
      </c>
      <c r="H30" s="3">
        <v>1750</v>
      </c>
      <c r="I30" s="3" t="s">
        <v>40</v>
      </c>
      <c r="J30" s="3" t="s">
        <v>41</v>
      </c>
      <c r="K30" s="3" t="s">
        <v>48</v>
      </c>
      <c r="L30" s="3" t="s">
        <v>63</v>
      </c>
      <c r="M30" s="3"/>
      <c r="N30" s="3"/>
      <c r="O30" s="3"/>
      <c r="P30" s="3"/>
      <c r="Q30" s="3"/>
      <c r="R30" s="3" t="s">
        <v>64</v>
      </c>
      <c r="S30" s="2" t="str">
        <f>LEFT(RIGHT(TabelaEquipamentos[[#This Row],[Observacoes]],11),4)</f>
        <v>5872</v>
      </c>
    </row>
    <row r="31" spans="1:19" ht="42.75">
      <c r="A31" s="3" t="s">
        <v>126</v>
      </c>
      <c r="B31" s="3" t="str">
        <f>RIGHT(TabelaEquipamentos[[#This Row],[TAG]],6)</f>
        <v>631517</v>
      </c>
      <c r="C31" s="3" t="s">
        <v>36</v>
      </c>
      <c r="D31" s="3" t="s">
        <v>37</v>
      </c>
      <c r="E31" s="3" t="s">
        <v>127</v>
      </c>
      <c r="F31" s="3" t="s">
        <v>47</v>
      </c>
      <c r="G31" s="3"/>
      <c r="H31" s="3"/>
      <c r="I31" s="3"/>
      <c r="J31" s="3" t="s">
        <v>41</v>
      </c>
      <c r="K31" s="3">
        <v>20</v>
      </c>
      <c r="L31" s="3" t="s">
        <v>128</v>
      </c>
      <c r="M31" s="3"/>
      <c r="N31" s="3"/>
      <c r="O31" s="3"/>
      <c r="P31" s="3"/>
      <c r="Q31" s="3"/>
      <c r="R31" s="3" t="s">
        <v>129</v>
      </c>
      <c r="S31" s="2" t="str">
        <f>LEFT(RIGHT(TabelaEquipamentos[[#This Row],[Observacoes]],11),4)</f>
        <v>5876</v>
      </c>
    </row>
    <row r="32" spans="1:19" ht="28.5">
      <c r="A32" s="3" t="s">
        <v>151</v>
      </c>
      <c r="B32" s="3" t="str">
        <f>RIGHT(TabelaEquipamentos[[#This Row],[TAG]],6)</f>
        <v>S/TAG</v>
      </c>
      <c r="C32" s="3" t="s">
        <v>36</v>
      </c>
      <c r="D32" s="3" t="s">
        <v>37</v>
      </c>
      <c r="E32" s="3" t="s">
        <v>145</v>
      </c>
      <c r="F32" s="3" t="s">
        <v>148</v>
      </c>
      <c r="G32" s="3">
        <v>118.3</v>
      </c>
      <c r="H32" s="3"/>
      <c r="I32" s="3"/>
      <c r="J32" s="3" t="s">
        <v>41</v>
      </c>
      <c r="K32" s="3">
        <v>9</v>
      </c>
      <c r="L32" s="3" t="s">
        <v>146</v>
      </c>
      <c r="M32" s="3"/>
      <c r="N32" s="3"/>
      <c r="O32" s="3"/>
      <c r="P32" s="3"/>
      <c r="Q32" s="3"/>
      <c r="R32" s="3" t="s">
        <v>147</v>
      </c>
      <c r="S32" s="2" t="str">
        <f>LEFT(RIGHT(TabelaEquipamentos[[#This Row],[Observacoes]],11),4)</f>
        <v>6056</v>
      </c>
    </row>
    <row r="33" spans="1:19" ht="28.5">
      <c r="A33" s="3" t="s">
        <v>151</v>
      </c>
      <c r="B33" s="3" t="str">
        <f>RIGHT(TabelaEquipamentos[[#This Row],[TAG]],6)</f>
        <v>S/TAG</v>
      </c>
      <c r="C33" s="3" t="s">
        <v>36</v>
      </c>
      <c r="D33" s="3" t="s">
        <v>37</v>
      </c>
      <c r="E33" s="3" t="s">
        <v>145</v>
      </c>
      <c r="F33" s="3" t="s">
        <v>148</v>
      </c>
      <c r="G33" s="3">
        <v>118.3</v>
      </c>
      <c r="H33" s="3"/>
      <c r="I33" s="3"/>
      <c r="J33" s="3" t="s">
        <v>41</v>
      </c>
      <c r="K33" s="3">
        <v>9</v>
      </c>
      <c r="L33" s="3" t="s">
        <v>146</v>
      </c>
      <c r="M33" s="3"/>
      <c r="N33" s="3"/>
      <c r="O33" s="3"/>
      <c r="P33" s="3"/>
      <c r="Q33" s="3"/>
      <c r="R33" s="3" t="s">
        <v>158</v>
      </c>
      <c r="S33" s="2" t="str">
        <f>LEFT(RIGHT(TabelaEquipamentos[[#This Row],[Observacoes]],11),4)</f>
        <v>6040</v>
      </c>
    </row>
    <row r="34" spans="1:19" ht="28.5">
      <c r="A34" s="3" t="s">
        <v>151</v>
      </c>
      <c r="B34" s="3" t="str">
        <f>RIGHT(TabelaEquipamentos[[#This Row],[TAG]],6)</f>
        <v>S/TAG</v>
      </c>
      <c r="C34" s="3" t="s">
        <v>112</v>
      </c>
      <c r="D34" s="3" t="s">
        <v>37</v>
      </c>
      <c r="E34" s="3" t="s">
        <v>162</v>
      </c>
      <c r="F34" s="3" t="s">
        <v>160</v>
      </c>
      <c r="G34" s="3">
        <v>58.97</v>
      </c>
      <c r="H34" s="3">
        <v>1735</v>
      </c>
      <c r="I34" s="3"/>
      <c r="J34" s="3" t="s">
        <v>144</v>
      </c>
      <c r="K34" s="3">
        <v>2.5</v>
      </c>
      <c r="L34" s="3"/>
      <c r="M34" s="3"/>
      <c r="N34" s="3"/>
      <c r="O34" s="3"/>
      <c r="P34" s="3"/>
      <c r="Q34" s="3"/>
      <c r="R34" s="3" t="s">
        <v>163</v>
      </c>
      <c r="S34" s="2" t="str">
        <f>LEFT(RIGHT(TabelaEquipamentos[[#This Row],[Observacoes]],11),4)</f>
        <v>6037</v>
      </c>
    </row>
    <row r="35" spans="1:19" ht="28.5">
      <c r="A35" s="3" t="s">
        <v>151</v>
      </c>
      <c r="B35" s="3" t="str">
        <f>RIGHT(TabelaEquipamentos[[#This Row],[TAG]],6)</f>
        <v>S/TAG</v>
      </c>
      <c r="C35" s="3" t="s">
        <v>112</v>
      </c>
      <c r="D35" s="3" t="s">
        <v>37</v>
      </c>
      <c r="E35" s="3" t="s">
        <v>159</v>
      </c>
      <c r="F35" s="3" t="s">
        <v>160</v>
      </c>
      <c r="G35" s="3">
        <v>69.75</v>
      </c>
      <c r="H35" s="3">
        <v>1735</v>
      </c>
      <c r="I35" s="3"/>
      <c r="J35" s="3" t="s">
        <v>41</v>
      </c>
      <c r="K35" s="3">
        <v>1.1000000000000001</v>
      </c>
      <c r="L35" s="3"/>
      <c r="M35" s="3"/>
      <c r="N35" s="3"/>
      <c r="O35" s="3"/>
      <c r="P35" s="3"/>
      <c r="Q35" s="3"/>
      <c r="R35" s="3" t="s">
        <v>161</v>
      </c>
      <c r="S35" s="2" t="str">
        <f>LEFT(RIGHT(TabelaEquipamentos[[#This Row],[Observacoes]],11),4)</f>
        <v>6039</v>
      </c>
    </row>
    <row r="36" spans="1:19" ht="28.5">
      <c r="A36" s="4" t="s">
        <v>151</v>
      </c>
      <c r="B36" s="4" t="str">
        <f>RIGHT(TabelaEquipamentos[[#This Row],[TAG]],6)</f>
        <v>S/TAG</v>
      </c>
      <c r="C36" s="3" t="s">
        <v>112</v>
      </c>
      <c r="D36" s="3" t="s">
        <v>37</v>
      </c>
      <c r="E36" s="3" t="s">
        <v>155</v>
      </c>
      <c r="F36" s="3" t="s">
        <v>156</v>
      </c>
      <c r="G36" s="3">
        <v>84</v>
      </c>
      <c r="H36" s="3">
        <v>1700</v>
      </c>
      <c r="I36" s="3"/>
      <c r="J36" s="3">
        <v>680</v>
      </c>
      <c r="K36" s="3">
        <v>0.5</v>
      </c>
      <c r="L36" s="3"/>
      <c r="M36" s="3"/>
      <c r="N36" s="3"/>
      <c r="O36" s="3"/>
      <c r="P36" s="3"/>
      <c r="Q36" s="3"/>
      <c r="R36" s="3" t="s">
        <v>157</v>
      </c>
      <c r="S36" s="2" t="str">
        <f>LEFT(RIGHT(TabelaEquipamentos[[#This Row],[Observacoes]],11),4)</f>
        <v>6046</v>
      </c>
    </row>
    <row r="37" spans="1:19" ht="28.5">
      <c r="A37" s="3" t="s">
        <v>151</v>
      </c>
      <c r="B37" s="3" t="str">
        <f>RIGHT(TabelaEquipamentos[[#This Row],[TAG]],6)</f>
        <v>S/TAG</v>
      </c>
      <c r="C37" s="3" t="s">
        <v>36</v>
      </c>
      <c r="D37" s="3" t="s">
        <v>37</v>
      </c>
      <c r="E37" s="3" t="s">
        <v>143</v>
      </c>
      <c r="F37" s="3" t="s">
        <v>104</v>
      </c>
      <c r="G37" s="3"/>
      <c r="H37" s="3"/>
      <c r="I37" s="3"/>
      <c r="J37" s="3" t="s">
        <v>41</v>
      </c>
      <c r="K37" s="3">
        <v>3</v>
      </c>
      <c r="L37" s="3"/>
      <c r="M37" s="3"/>
      <c r="N37" s="3"/>
      <c r="O37" s="3"/>
      <c r="P37" s="3"/>
      <c r="Q37" s="3"/>
      <c r="R37" s="3" t="s">
        <v>181</v>
      </c>
      <c r="S37" s="2" t="str">
        <f>LEFT(RIGHT(TabelaEquipamentos[[#This Row],[Observacoes]],11),4)</f>
        <v>6036</v>
      </c>
    </row>
    <row r="38" spans="1:19" ht="42.75">
      <c r="A38" s="3" t="s">
        <v>164</v>
      </c>
      <c r="B38" s="3" t="str">
        <f>RIGHT(TabelaEquipamentos[[#This Row],[TAG]],6)</f>
        <v>601046</v>
      </c>
      <c r="C38" s="3" t="s">
        <v>165</v>
      </c>
      <c r="D38" s="3" t="s">
        <v>166</v>
      </c>
      <c r="E38" s="3" t="s">
        <v>167</v>
      </c>
      <c r="F38" s="3" t="s">
        <v>160</v>
      </c>
      <c r="G38" s="3" t="s">
        <v>168</v>
      </c>
      <c r="H38" s="3"/>
      <c r="I38" s="3"/>
      <c r="J38" s="3">
        <v>680</v>
      </c>
      <c r="K38" s="3">
        <v>2</v>
      </c>
      <c r="L38" s="3" t="s">
        <v>169</v>
      </c>
      <c r="M38" s="3"/>
      <c r="N38" s="3"/>
      <c r="O38" s="3"/>
      <c r="P38" s="3"/>
      <c r="Q38" s="3"/>
      <c r="R38" s="3" t="s">
        <v>182</v>
      </c>
      <c r="S38" s="2" t="str">
        <f>LEFT(RIGHT(TabelaEquipamentos[[#This Row],[Observacoes]],11),4)</f>
        <v>5995</v>
      </c>
    </row>
    <row r="39" spans="1:19" ht="28.5">
      <c r="A39" s="3" t="s">
        <v>151</v>
      </c>
      <c r="B39" s="3" t="str">
        <f>RIGHT(TabelaEquipamentos[[#This Row],[TAG]],6)</f>
        <v>S/TAG</v>
      </c>
      <c r="C39" s="3" t="s">
        <v>165</v>
      </c>
      <c r="D39" s="3" t="s">
        <v>166</v>
      </c>
      <c r="E39" s="3" t="s">
        <v>167</v>
      </c>
      <c r="F39" s="3" t="s">
        <v>160</v>
      </c>
      <c r="G39" s="3" t="s">
        <v>168</v>
      </c>
      <c r="H39" s="3"/>
      <c r="I39" s="3"/>
      <c r="J39" s="3">
        <v>680</v>
      </c>
      <c r="K39" s="3">
        <v>2</v>
      </c>
      <c r="L39" s="3" t="s">
        <v>170</v>
      </c>
      <c r="M39" s="3"/>
      <c r="N39" s="3"/>
      <c r="O39" s="3"/>
      <c r="P39" s="3"/>
      <c r="Q39" s="3"/>
      <c r="R39" s="3" t="s">
        <v>183</v>
      </c>
      <c r="S39" s="2" t="str">
        <f>LEFT(RIGHT(TabelaEquipamentos[[#This Row],[Observacoes]],11),4)</f>
        <v>5993</v>
      </c>
    </row>
    <row r="40" spans="1:19" ht="28.5">
      <c r="A40" s="3" t="s">
        <v>151</v>
      </c>
      <c r="B40" s="3" t="str">
        <f>RIGHT(TabelaEquipamentos[[#This Row],[TAG]],6)</f>
        <v>S/TAG</v>
      </c>
      <c r="C40" s="3" t="s">
        <v>165</v>
      </c>
      <c r="D40" s="3" t="s">
        <v>166</v>
      </c>
      <c r="E40" s="3" t="s">
        <v>167</v>
      </c>
      <c r="F40" s="3" t="s">
        <v>160</v>
      </c>
      <c r="G40" s="3" t="s">
        <v>168</v>
      </c>
      <c r="H40" s="3"/>
      <c r="I40" s="3"/>
      <c r="J40" s="3">
        <v>680</v>
      </c>
      <c r="K40" s="3">
        <v>2</v>
      </c>
      <c r="L40" s="3" t="s">
        <v>170</v>
      </c>
      <c r="M40" s="3"/>
      <c r="N40" s="3"/>
      <c r="O40" s="3"/>
      <c r="P40" s="3"/>
      <c r="Q40" s="3"/>
      <c r="R40" s="3" t="s">
        <v>184</v>
      </c>
      <c r="S40" s="2" t="str">
        <f>LEFT(RIGHT(TabelaEquipamentos[[#This Row],[Observacoes]],11),4)</f>
        <v>5991</v>
      </c>
    </row>
    <row r="41" spans="1:19" ht="71.25">
      <c r="A41" s="3" t="s">
        <v>171</v>
      </c>
      <c r="B41" s="3" t="str">
        <f>RIGHT(TabelaEquipamentos[[#This Row],[TAG]],6)</f>
        <v>601043</v>
      </c>
      <c r="C41" s="3" t="s">
        <v>165</v>
      </c>
      <c r="D41" s="3" t="s">
        <v>166</v>
      </c>
      <c r="E41" s="3" t="s">
        <v>167</v>
      </c>
      <c r="F41" s="3" t="s">
        <v>174</v>
      </c>
      <c r="G41" s="3" t="s">
        <v>168</v>
      </c>
      <c r="H41" s="3"/>
      <c r="I41" s="3"/>
      <c r="J41" s="3">
        <v>680</v>
      </c>
      <c r="K41" s="3">
        <v>2</v>
      </c>
      <c r="L41" s="3" t="s">
        <v>172</v>
      </c>
      <c r="M41" s="3"/>
      <c r="N41" s="3"/>
      <c r="O41" s="3"/>
      <c r="P41" s="3"/>
      <c r="Q41" s="3"/>
      <c r="R41" s="3" t="s">
        <v>185</v>
      </c>
      <c r="S41" s="2" t="str">
        <f>LEFT(RIGHT(TabelaEquipamentos[[#This Row],[Observacoes]],11),4)</f>
        <v>5989</v>
      </c>
    </row>
    <row r="42" spans="1:19" ht="28.5">
      <c r="A42" s="3" t="s">
        <v>151</v>
      </c>
      <c r="B42" s="3" t="str">
        <f>RIGHT(TabelaEquipamentos[[#This Row],[TAG]],6)</f>
        <v>S/TAG</v>
      </c>
      <c r="C42" s="3" t="s">
        <v>165</v>
      </c>
      <c r="D42" s="3" t="s">
        <v>166</v>
      </c>
      <c r="E42" s="3" t="s">
        <v>167</v>
      </c>
      <c r="F42" s="3" t="s">
        <v>160</v>
      </c>
      <c r="G42" s="3" t="s">
        <v>168</v>
      </c>
      <c r="H42" s="3"/>
      <c r="I42" s="3"/>
      <c r="J42" s="3">
        <v>680</v>
      </c>
      <c r="K42" s="3">
        <v>2</v>
      </c>
      <c r="L42" s="3" t="s">
        <v>170</v>
      </c>
      <c r="M42" s="3"/>
      <c r="N42" s="3"/>
      <c r="O42" s="3"/>
      <c r="P42" s="3"/>
      <c r="Q42" s="3"/>
      <c r="R42" s="3" t="s">
        <v>186</v>
      </c>
      <c r="S42" s="2" t="str">
        <f>LEFT(RIGHT(TabelaEquipamentos[[#This Row],[Observacoes]],11),4)</f>
        <v>5987</v>
      </c>
    </row>
    <row r="43" spans="1:19" ht="28.5">
      <c r="A43" s="3" t="s">
        <v>151</v>
      </c>
      <c r="B43" s="3" t="str">
        <f>RIGHT(TabelaEquipamentos[[#This Row],[TAG]],6)</f>
        <v>S/TAG</v>
      </c>
      <c r="C43" s="3" t="s">
        <v>165</v>
      </c>
      <c r="D43" s="3" t="s">
        <v>166</v>
      </c>
      <c r="E43" s="3" t="s">
        <v>167</v>
      </c>
      <c r="F43" s="3" t="s">
        <v>160</v>
      </c>
      <c r="G43" s="3" t="s">
        <v>168</v>
      </c>
      <c r="H43" s="3"/>
      <c r="I43" s="3"/>
      <c r="J43" s="3">
        <v>680</v>
      </c>
      <c r="K43" s="3">
        <v>2</v>
      </c>
      <c r="L43" s="3" t="s">
        <v>170</v>
      </c>
      <c r="M43" s="3"/>
      <c r="N43" s="3"/>
      <c r="O43" s="3"/>
      <c r="P43" s="3"/>
      <c r="Q43" s="3"/>
      <c r="R43" s="3" t="s">
        <v>187</v>
      </c>
      <c r="S43" s="2" t="str">
        <f>LEFT(RIGHT(TabelaEquipamentos[[#This Row],[Observacoes]],11),4)</f>
        <v>5985</v>
      </c>
    </row>
    <row r="44" spans="1:19" ht="28.5">
      <c r="A44" s="3" t="s">
        <v>151</v>
      </c>
      <c r="B44" s="3" t="str">
        <f>RIGHT(TabelaEquipamentos[[#This Row],[TAG]],6)</f>
        <v>S/TAG</v>
      </c>
      <c r="C44" s="3" t="s">
        <v>165</v>
      </c>
      <c r="D44" s="3" t="s">
        <v>166</v>
      </c>
      <c r="E44" s="3" t="s">
        <v>167</v>
      </c>
      <c r="F44" s="3" t="s">
        <v>160</v>
      </c>
      <c r="G44" s="3" t="s">
        <v>168</v>
      </c>
      <c r="H44" s="3"/>
      <c r="I44" s="3"/>
      <c r="J44" s="3">
        <v>680</v>
      </c>
      <c r="K44" s="3">
        <v>2</v>
      </c>
      <c r="L44" s="3" t="s">
        <v>170</v>
      </c>
      <c r="M44" s="3"/>
      <c r="N44" s="3"/>
      <c r="O44" s="3"/>
      <c r="P44" s="3"/>
      <c r="Q44" s="3"/>
      <c r="R44" s="3" t="s">
        <v>188</v>
      </c>
      <c r="S44" s="2" t="str">
        <f>LEFT(RIGHT(TabelaEquipamentos[[#This Row],[Observacoes]],11),4)</f>
        <v>5983</v>
      </c>
    </row>
    <row r="45" spans="1:19" ht="28.5">
      <c r="A45" s="3" t="s">
        <v>151</v>
      </c>
      <c r="B45" s="3" t="str">
        <f>RIGHT(TabelaEquipamentos[[#This Row],[TAG]],6)</f>
        <v>S/TAG</v>
      </c>
      <c r="C45" s="3" t="s">
        <v>165</v>
      </c>
      <c r="D45" s="3" t="s">
        <v>166</v>
      </c>
      <c r="E45" s="3" t="s">
        <v>167</v>
      </c>
      <c r="F45" s="3" t="s">
        <v>160</v>
      </c>
      <c r="G45" s="3" t="s">
        <v>168</v>
      </c>
      <c r="H45" s="3"/>
      <c r="I45" s="3"/>
      <c r="J45" s="3">
        <v>680</v>
      </c>
      <c r="K45" s="3">
        <v>2</v>
      </c>
      <c r="L45" s="3" t="s">
        <v>170</v>
      </c>
      <c r="M45" s="3"/>
      <c r="N45" s="3"/>
      <c r="O45" s="3"/>
      <c r="P45" s="3"/>
      <c r="Q45" s="3"/>
      <c r="R45" s="3" t="s">
        <v>189</v>
      </c>
      <c r="S45" s="2" t="str">
        <f>LEFT(RIGHT(TabelaEquipamentos[[#This Row],[Observacoes]],11),4)</f>
        <v>5981</v>
      </c>
    </row>
    <row r="46" spans="1:19" ht="42.75">
      <c r="A46" s="3" t="s">
        <v>173</v>
      </c>
      <c r="B46" s="3" t="str">
        <f>RIGHT(TabelaEquipamentos[[#This Row],[TAG]],6)</f>
        <v>601041</v>
      </c>
      <c r="C46" s="3" t="s">
        <v>165</v>
      </c>
      <c r="D46" s="3" t="s">
        <v>166</v>
      </c>
      <c r="E46" s="3" t="s">
        <v>167</v>
      </c>
      <c r="F46" s="3" t="s">
        <v>160</v>
      </c>
      <c r="G46" s="3" t="s">
        <v>168</v>
      </c>
      <c r="H46" s="3"/>
      <c r="I46" s="3"/>
      <c r="J46" s="3">
        <v>680</v>
      </c>
      <c r="K46" s="3">
        <v>2</v>
      </c>
      <c r="L46" s="3" t="s">
        <v>174</v>
      </c>
      <c r="M46" s="3"/>
      <c r="N46" s="3"/>
      <c r="O46" s="3"/>
      <c r="P46" s="3"/>
      <c r="Q46" s="3"/>
      <c r="R46" s="3" t="s">
        <v>190</v>
      </c>
      <c r="S46" s="2" t="str">
        <f>LEFT(RIGHT(TabelaEquipamentos[[#This Row],[Observacoes]],11),4)</f>
        <v>5979</v>
      </c>
    </row>
    <row r="47" spans="1:19" ht="42.75">
      <c r="A47" s="3" t="s">
        <v>175</v>
      </c>
      <c r="B47" s="3" t="str">
        <f>RIGHT(TabelaEquipamentos[[#This Row],[TAG]],6)</f>
        <v>601040</v>
      </c>
      <c r="C47" s="3" t="s">
        <v>165</v>
      </c>
      <c r="D47" s="3" t="s">
        <v>166</v>
      </c>
      <c r="E47" s="3" t="s">
        <v>167</v>
      </c>
      <c r="F47" s="3" t="s">
        <v>160</v>
      </c>
      <c r="G47" s="3" t="s">
        <v>168</v>
      </c>
      <c r="H47" s="3"/>
      <c r="I47" s="3"/>
      <c r="J47" s="3">
        <v>680</v>
      </c>
      <c r="K47" s="3">
        <v>2</v>
      </c>
      <c r="L47" s="3" t="s">
        <v>176</v>
      </c>
      <c r="M47" s="3"/>
      <c r="N47" s="3"/>
      <c r="O47" s="3"/>
      <c r="P47" s="3"/>
      <c r="Q47" s="3"/>
      <c r="R47" s="3" t="s">
        <v>191</v>
      </c>
      <c r="S47" s="2" t="str">
        <f>LEFT(RIGHT(TabelaEquipamentos[[#This Row],[Observacoes]],11),4)</f>
        <v>5977</v>
      </c>
    </row>
    <row r="48" spans="1:19" ht="28.5">
      <c r="A48" s="3" t="s">
        <v>151</v>
      </c>
      <c r="B48" s="3" t="str">
        <f>RIGHT(TabelaEquipamentos[[#This Row],[TAG]],6)</f>
        <v>S/TAG</v>
      </c>
      <c r="C48" s="3" t="s">
        <v>165</v>
      </c>
      <c r="D48" s="3" t="s">
        <v>166</v>
      </c>
      <c r="E48" s="3" t="s">
        <v>167</v>
      </c>
      <c r="F48" s="3" t="s">
        <v>160</v>
      </c>
      <c r="G48" s="3" t="s">
        <v>168</v>
      </c>
      <c r="H48" s="3"/>
      <c r="I48" s="3"/>
      <c r="J48" s="3">
        <v>680</v>
      </c>
      <c r="K48" s="3">
        <v>2</v>
      </c>
      <c r="L48" s="3" t="s">
        <v>170</v>
      </c>
      <c r="M48" s="3"/>
      <c r="N48" s="3"/>
      <c r="O48" s="3"/>
      <c r="P48" s="3"/>
      <c r="Q48" s="3"/>
      <c r="R48" s="3" t="s">
        <v>192</v>
      </c>
      <c r="S48" s="2" t="str">
        <f>LEFT(RIGHT(TabelaEquipamentos[[#This Row],[Observacoes]],11),4)</f>
        <v>5975</v>
      </c>
    </row>
    <row r="49" spans="1:19" ht="28.5">
      <c r="A49" s="3" t="s">
        <v>151</v>
      </c>
      <c r="B49" s="3" t="str">
        <f>RIGHT(TabelaEquipamentos[[#This Row],[TAG]],6)</f>
        <v>S/TAG</v>
      </c>
      <c r="C49" s="3" t="s">
        <v>165</v>
      </c>
      <c r="D49" s="3" t="s">
        <v>166</v>
      </c>
      <c r="E49" s="3" t="s">
        <v>167</v>
      </c>
      <c r="F49" s="3" t="s">
        <v>160</v>
      </c>
      <c r="G49" s="3" t="s">
        <v>168</v>
      </c>
      <c r="H49" s="3"/>
      <c r="I49" s="3"/>
      <c r="J49" s="3">
        <v>680</v>
      </c>
      <c r="K49" s="3">
        <v>2</v>
      </c>
      <c r="L49" s="3" t="s">
        <v>170</v>
      </c>
      <c r="M49" s="3"/>
      <c r="N49" s="3"/>
      <c r="O49" s="3"/>
      <c r="P49" s="3"/>
      <c r="Q49" s="3"/>
      <c r="R49" s="3" t="s">
        <v>193</v>
      </c>
      <c r="S49" s="2" t="str">
        <f>LEFT(RIGHT(TabelaEquipamentos[[#This Row],[Observacoes]],11),4)</f>
        <v>5973</v>
      </c>
    </row>
    <row r="50" spans="1:19" ht="28.5">
      <c r="A50" s="3" t="s">
        <v>151</v>
      </c>
      <c r="B50" s="3" t="str">
        <f>RIGHT(TabelaEquipamentos[[#This Row],[TAG]],6)</f>
        <v>S/TAG</v>
      </c>
      <c r="C50" s="3" t="s">
        <v>165</v>
      </c>
      <c r="D50" s="3" t="s">
        <v>166</v>
      </c>
      <c r="E50" s="3" t="s">
        <v>167</v>
      </c>
      <c r="F50" s="3" t="s">
        <v>160</v>
      </c>
      <c r="G50" s="3" t="s">
        <v>168</v>
      </c>
      <c r="H50" s="3"/>
      <c r="I50" s="3"/>
      <c r="J50" s="3">
        <v>680</v>
      </c>
      <c r="K50" s="3">
        <v>2</v>
      </c>
      <c r="L50" s="3" t="s">
        <v>170</v>
      </c>
      <c r="M50" s="3"/>
      <c r="N50" s="3"/>
      <c r="O50" s="3"/>
      <c r="P50" s="3"/>
      <c r="Q50" s="3"/>
      <c r="R50" s="3" t="s">
        <v>194</v>
      </c>
      <c r="S50" s="2" t="str">
        <f>LEFT(RIGHT(TabelaEquipamentos[[#This Row],[Observacoes]],11),4)</f>
        <v>5971</v>
      </c>
    </row>
    <row r="51" spans="1:19" ht="28.5">
      <c r="A51" s="3" t="s">
        <v>151</v>
      </c>
      <c r="B51" s="3" t="str">
        <f>RIGHT(TabelaEquipamentos[[#This Row],[TAG]],6)</f>
        <v>S/TAG</v>
      </c>
      <c r="C51" s="3" t="s">
        <v>165</v>
      </c>
      <c r="D51" s="3" t="s">
        <v>166</v>
      </c>
      <c r="E51" s="3" t="s">
        <v>167</v>
      </c>
      <c r="F51" s="3" t="s">
        <v>160</v>
      </c>
      <c r="G51" s="3" t="s">
        <v>168</v>
      </c>
      <c r="H51" s="3"/>
      <c r="I51" s="3"/>
      <c r="J51" s="3">
        <v>680</v>
      </c>
      <c r="K51" s="3">
        <v>2</v>
      </c>
      <c r="L51" s="3" t="s">
        <v>170</v>
      </c>
      <c r="M51" s="3"/>
      <c r="N51" s="3"/>
      <c r="O51" s="3"/>
      <c r="P51" s="3"/>
      <c r="Q51" s="3"/>
      <c r="R51" s="3" t="s">
        <v>195</v>
      </c>
      <c r="S51" s="2" t="str">
        <f>LEFT(RIGHT(TabelaEquipamentos[[#This Row],[Observacoes]],11),4)</f>
        <v>5969</v>
      </c>
    </row>
    <row r="52" spans="1:19" ht="28.5">
      <c r="A52" s="3" t="s">
        <v>151</v>
      </c>
      <c r="B52" s="3" t="str">
        <f>RIGHT(TabelaEquipamentos[[#This Row],[TAG]],6)</f>
        <v>S/TAG</v>
      </c>
      <c r="C52" s="3" t="s">
        <v>165</v>
      </c>
      <c r="D52" s="3" t="s">
        <v>166</v>
      </c>
      <c r="E52" s="3" t="s">
        <v>167</v>
      </c>
      <c r="F52" s="3" t="s">
        <v>160</v>
      </c>
      <c r="G52" s="3" t="s">
        <v>168</v>
      </c>
      <c r="H52" s="3"/>
      <c r="I52" s="3"/>
      <c r="J52" s="3">
        <v>680</v>
      </c>
      <c r="K52" s="3">
        <v>2</v>
      </c>
      <c r="L52" s="3" t="s">
        <v>170</v>
      </c>
      <c r="M52" s="3"/>
      <c r="N52" s="3"/>
      <c r="O52" s="3"/>
      <c r="P52" s="3"/>
      <c r="Q52" s="3"/>
      <c r="R52" s="3" t="s">
        <v>196</v>
      </c>
      <c r="S52" s="2" t="str">
        <f>LEFT(RIGHT(TabelaEquipamentos[[#This Row],[Observacoes]],11),4)</f>
        <v>5967</v>
      </c>
    </row>
    <row r="53" spans="1:19" ht="57">
      <c r="A53" s="3" t="s">
        <v>177</v>
      </c>
      <c r="B53" s="3" t="str">
        <f>RIGHT(TabelaEquipamentos[[#This Row],[TAG]],6)</f>
        <v>601035</v>
      </c>
      <c r="C53" s="3" t="s">
        <v>165</v>
      </c>
      <c r="D53" s="3" t="s">
        <v>166</v>
      </c>
      <c r="E53" s="3" t="s">
        <v>167</v>
      </c>
      <c r="F53" s="3" t="s">
        <v>160</v>
      </c>
      <c r="G53" s="3" t="s">
        <v>168</v>
      </c>
      <c r="H53" s="3"/>
      <c r="I53" s="3"/>
      <c r="J53" s="3">
        <v>680</v>
      </c>
      <c r="K53" s="3">
        <v>2</v>
      </c>
      <c r="L53" s="3" t="s">
        <v>178</v>
      </c>
      <c r="M53" s="3"/>
      <c r="N53" s="3"/>
      <c r="O53" s="3"/>
      <c r="P53" s="3"/>
      <c r="Q53" s="3"/>
      <c r="R53" s="3" t="s">
        <v>197</v>
      </c>
      <c r="S53" s="2" t="str">
        <f>LEFT(RIGHT(TabelaEquipamentos[[#This Row],[Observacoes]],11),4)</f>
        <v>5965</v>
      </c>
    </row>
    <row r="54" spans="1:19" ht="28.5">
      <c r="A54" s="3" t="s">
        <v>140</v>
      </c>
      <c r="B54" s="3" t="str">
        <f>RIGHT(TabelaEquipamentos[[#This Row],[TAG]],6)</f>
        <v>601242</v>
      </c>
      <c r="C54" s="3" t="s">
        <v>112</v>
      </c>
      <c r="D54" s="3" t="s">
        <v>37</v>
      </c>
      <c r="E54" s="3" t="s">
        <v>131</v>
      </c>
      <c r="F54" s="3" t="s">
        <v>199</v>
      </c>
      <c r="G54" s="3">
        <v>15.64</v>
      </c>
      <c r="H54" s="3"/>
      <c r="I54" s="3"/>
      <c r="J54" s="3" t="s">
        <v>41</v>
      </c>
      <c r="K54" s="3">
        <v>5.9</v>
      </c>
      <c r="L54" s="3"/>
      <c r="M54" s="3"/>
      <c r="N54" s="3"/>
      <c r="O54" s="3"/>
      <c r="P54" s="3"/>
      <c r="Q54" s="3"/>
      <c r="R54" s="3" t="s">
        <v>200</v>
      </c>
      <c r="S54" s="2" t="str">
        <f>LEFT(RIGHT(TabelaEquipamentos[[#This Row],[Observacoes]],11),4)</f>
        <v>6030</v>
      </c>
    </row>
    <row r="55" spans="1:19" ht="28.5">
      <c r="A55" s="3" t="s">
        <v>151</v>
      </c>
      <c r="B55" s="3" t="str">
        <f>RIGHT(TabelaEquipamentos[[#This Row],[TAG]],6)</f>
        <v>S/TAG</v>
      </c>
      <c r="C55" s="3" t="s">
        <v>112</v>
      </c>
      <c r="D55" s="3" t="s">
        <v>201</v>
      </c>
      <c r="E55" s="3" t="s">
        <v>202</v>
      </c>
      <c r="F55" s="3" t="s">
        <v>203</v>
      </c>
      <c r="G55" s="3"/>
      <c r="H55" s="3"/>
      <c r="I55" s="3"/>
      <c r="J55" s="3" t="s">
        <v>208</v>
      </c>
      <c r="K55" s="5" t="s">
        <v>204</v>
      </c>
      <c r="L55" s="3"/>
      <c r="M55" s="3"/>
      <c r="N55" s="3"/>
      <c r="O55" s="3"/>
      <c r="P55" s="3"/>
      <c r="Q55" s="3"/>
      <c r="R55" s="3" t="s">
        <v>205</v>
      </c>
      <c r="S55" s="2" t="str">
        <f>LEFT(RIGHT(TabelaEquipamentos[[#This Row],[Observacoes]],11),4)</f>
        <v>6054</v>
      </c>
    </row>
    <row r="56" spans="1:19" ht="28.5">
      <c r="A56" s="3" t="s">
        <v>151</v>
      </c>
      <c r="B56" s="3" t="str">
        <f>RIGHT(TabelaEquipamentos[[#This Row],[TAG]],6)</f>
        <v>S/TAG</v>
      </c>
      <c r="C56" s="3" t="s">
        <v>36</v>
      </c>
      <c r="D56" s="3" t="s">
        <v>206</v>
      </c>
      <c r="E56" s="3"/>
      <c r="F56" s="3" t="s">
        <v>207</v>
      </c>
      <c r="G56" s="3"/>
      <c r="H56" s="3"/>
      <c r="I56" s="3"/>
      <c r="J56" s="3" t="s">
        <v>41</v>
      </c>
      <c r="K56" s="3">
        <v>3</v>
      </c>
      <c r="L56" s="3"/>
      <c r="M56" s="3"/>
      <c r="N56" s="3"/>
      <c r="O56" s="3"/>
      <c r="P56" s="3"/>
      <c r="Q56" s="3"/>
      <c r="R56" s="3" t="s">
        <v>209</v>
      </c>
      <c r="S56" s="2" t="str">
        <f>LEFT(RIGHT(TabelaEquipamentos[[#This Row],[Observacoes]],11),4)</f>
        <v>6028</v>
      </c>
    </row>
    <row r="57" spans="1:19" ht="28.5">
      <c r="A57" s="3" t="s">
        <v>151</v>
      </c>
      <c r="B57" s="3" t="str">
        <f>RIGHT(TabelaEquipamentos[[#This Row],[TAG]],6)</f>
        <v>S/TAG</v>
      </c>
      <c r="C57" s="3" t="s">
        <v>112</v>
      </c>
      <c r="D57" s="3" t="s">
        <v>201</v>
      </c>
      <c r="E57" s="3" t="s">
        <v>210</v>
      </c>
      <c r="F57" s="3" t="s">
        <v>211</v>
      </c>
      <c r="G57" s="3">
        <v>39.630000000000003</v>
      </c>
      <c r="H57" s="3"/>
      <c r="I57" s="3"/>
      <c r="J57" s="3" t="s">
        <v>41</v>
      </c>
      <c r="K57" s="3">
        <v>10</v>
      </c>
      <c r="L57" s="3"/>
      <c r="M57" s="3"/>
      <c r="N57" s="3"/>
      <c r="O57" s="3"/>
      <c r="P57" s="3"/>
      <c r="Q57" s="3"/>
      <c r="R57" s="3" t="s">
        <v>212</v>
      </c>
      <c r="S57" s="2" t="str">
        <f>LEFT(RIGHT(TabelaEquipamentos[[#This Row],[Observacoes]],11),4)</f>
        <v>6023</v>
      </c>
    </row>
    <row r="58" spans="1:19" ht="57">
      <c r="A58" s="3" t="s">
        <v>213</v>
      </c>
      <c r="B58" s="3" t="str">
        <f>RIGHT(TabelaEquipamentos[[#This Row],[TAG]],6)</f>
        <v>601079</v>
      </c>
      <c r="C58" s="3" t="s">
        <v>112</v>
      </c>
      <c r="D58" s="3" t="s">
        <v>201</v>
      </c>
      <c r="E58" s="3" t="s">
        <v>214</v>
      </c>
      <c r="F58" s="3" t="s">
        <v>215</v>
      </c>
      <c r="G58" s="3"/>
      <c r="H58" s="3"/>
      <c r="I58" s="3"/>
      <c r="J58" s="3" t="s">
        <v>41</v>
      </c>
      <c r="K58" s="3">
        <v>12</v>
      </c>
      <c r="L58" s="3" t="s">
        <v>216</v>
      </c>
      <c r="M58" s="3"/>
      <c r="N58" s="3"/>
      <c r="O58" s="3"/>
      <c r="P58" s="3"/>
      <c r="Q58" s="3"/>
      <c r="R58" s="3" t="s">
        <v>217</v>
      </c>
      <c r="S58" s="2" t="str">
        <f>LEFT(RIGHT(TabelaEquipamentos[[#This Row],[Observacoes]],11),4)</f>
        <v>6016</v>
      </c>
    </row>
    <row r="59" spans="1:19" ht="57">
      <c r="A59" s="3" t="s">
        <v>218</v>
      </c>
      <c r="B59" s="3" t="str">
        <f>RIGHT(TabelaEquipamentos[[#This Row],[TAG]],6)</f>
        <v>601080</v>
      </c>
      <c r="C59" s="3" t="s">
        <v>112</v>
      </c>
      <c r="D59" s="3" t="s">
        <v>201</v>
      </c>
      <c r="E59" s="3" t="s">
        <v>214</v>
      </c>
      <c r="F59" s="3" t="s">
        <v>215</v>
      </c>
      <c r="G59" s="3"/>
      <c r="H59" s="3"/>
      <c r="I59" s="3"/>
      <c r="J59" s="3" t="s">
        <v>41</v>
      </c>
      <c r="K59" s="3">
        <v>12</v>
      </c>
      <c r="L59" s="3" t="s">
        <v>219</v>
      </c>
      <c r="M59" s="3"/>
      <c r="N59" s="3"/>
      <c r="O59" s="3"/>
      <c r="P59" s="3"/>
      <c r="Q59" s="3"/>
      <c r="R59" s="3" t="s">
        <v>220</v>
      </c>
      <c r="S59" s="2" t="str">
        <f>LEFT(RIGHT(TabelaEquipamentos[[#This Row],[Observacoes]],11),4)</f>
        <v>6021</v>
      </c>
    </row>
    <row r="60" spans="1:19" ht="57">
      <c r="A60" s="3" t="s">
        <v>221</v>
      </c>
      <c r="B60" s="3" t="str">
        <f>RIGHT(TabelaEquipamentos[[#This Row],[TAG]],6)</f>
        <v>601078</v>
      </c>
      <c r="C60" s="3" t="s">
        <v>112</v>
      </c>
      <c r="D60" s="3" t="s">
        <v>201</v>
      </c>
      <c r="E60" s="3" t="s">
        <v>214</v>
      </c>
      <c r="F60" s="3" t="s">
        <v>215</v>
      </c>
      <c r="G60" s="3"/>
      <c r="H60" s="3"/>
      <c r="I60" s="3"/>
      <c r="J60" s="3" t="s">
        <v>41</v>
      </c>
      <c r="K60" s="3">
        <v>12</v>
      </c>
      <c r="L60" s="3" t="s">
        <v>222</v>
      </c>
      <c r="M60" s="3"/>
      <c r="N60" s="3"/>
      <c r="O60" s="3"/>
      <c r="P60" s="3"/>
      <c r="Q60" s="3"/>
      <c r="R60" s="3" t="s">
        <v>223</v>
      </c>
      <c r="S60" s="2" t="str">
        <f>LEFT(RIGHT(TabelaEquipamentos[[#This Row],[Observacoes]],11),4)</f>
        <v>6011</v>
      </c>
    </row>
    <row r="61" spans="1:19" ht="71.25">
      <c r="A61" s="3" t="s">
        <v>224</v>
      </c>
      <c r="B61" s="3" t="str">
        <f>RIGHT(TabelaEquipamentos[[#This Row],[TAG]],6)</f>
        <v>601241</v>
      </c>
      <c r="C61" s="3" t="s">
        <v>112</v>
      </c>
      <c r="D61" s="3" t="s">
        <v>201</v>
      </c>
      <c r="E61" s="3" t="s">
        <v>214</v>
      </c>
      <c r="F61" s="3" t="s">
        <v>225</v>
      </c>
      <c r="G61" s="3"/>
      <c r="H61" s="3"/>
      <c r="I61" s="3"/>
      <c r="J61" s="3" t="s">
        <v>41</v>
      </c>
      <c r="K61" s="3">
        <v>12</v>
      </c>
      <c r="L61" s="3" t="s">
        <v>227</v>
      </c>
      <c r="M61" s="3"/>
      <c r="N61" s="3"/>
      <c r="O61" s="3"/>
      <c r="P61" s="3"/>
      <c r="Q61" s="3"/>
      <c r="R61" s="3" t="s">
        <v>226</v>
      </c>
      <c r="S61" s="2" t="str">
        <f>LEFT(RIGHT(TabelaEquipamentos[[#This Row],[Observacoes]],11),4)</f>
        <v>6020</v>
      </c>
    </row>
    <row r="62" spans="1:19" ht="71.25">
      <c r="A62" s="3" t="s">
        <v>229</v>
      </c>
      <c r="B62" s="3" t="str">
        <f>RIGHT(TabelaEquipamentos[[#This Row],[TAG]],6)</f>
        <v>601245</v>
      </c>
      <c r="C62" s="3" t="s">
        <v>112</v>
      </c>
      <c r="D62" s="3" t="s">
        <v>201</v>
      </c>
      <c r="E62" s="3" t="s">
        <v>262</v>
      </c>
      <c r="F62" s="3"/>
      <c r="G62" s="3"/>
      <c r="H62" s="3"/>
      <c r="I62" s="3"/>
      <c r="J62" s="3" t="s">
        <v>41</v>
      </c>
      <c r="K62" s="3">
        <v>12</v>
      </c>
      <c r="L62" s="3" t="s">
        <v>263</v>
      </c>
      <c r="M62" s="3"/>
      <c r="N62" s="3"/>
      <c r="O62" s="3"/>
      <c r="P62" s="3"/>
      <c r="Q62" s="3"/>
      <c r="R62" s="3" t="s">
        <v>264</v>
      </c>
      <c r="S62" s="2" t="str">
        <f>LEFT(RIGHT(TabelaEquipamentos[[#This Row],[Observacoes]],11),4)</f>
        <v>6013</v>
      </c>
    </row>
    <row r="63" spans="1:19" ht="57">
      <c r="A63" s="3" t="s">
        <v>228</v>
      </c>
      <c r="B63" s="3" t="str">
        <f>RIGHT(TabelaEquipamentos[[#This Row],[TAG]],6)</f>
        <v>601049</v>
      </c>
      <c r="C63" s="3" t="s">
        <v>36</v>
      </c>
      <c r="D63" s="3" t="s">
        <v>37</v>
      </c>
      <c r="E63" s="3" t="s">
        <v>272</v>
      </c>
      <c r="F63" s="3" t="s">
        <v>148</v>
      </c>
      <c r="G63" s="3">
        <v>118.3</v>
      </c>
      <c r="H63" s="3">
        <v>1750</v>
      </c>
      <c r="I63" s="3"/>
      <c r="J63" s="3" t="s">
        <v>41</v>
      </c>
      <c r="K63" s="3">
        <v>9</v>
      </c>
      <c r="L63" s="3" t="s">
        <v>273</v>
      </c>
      <c r="M63" s="3"/>
      <c r="N63" s="3"/>
      <c r="O63" s="3"/>
      <c r="P63" s="3"/>
      <c r="Q63" s="3"/>
      <c r="R63" s="3" t="s">
        <v>261</v>
      </c>
      <c r="S63" s="2" t="str">
        <f>LEFT(RIGHT(TabelaEquipamentos[[#This Row],[Observacoes]],11),4)</f>
        <v>6025</v>
      </c>
    </row>
    <row r="64" spans="1:19">
      <c r="A64" s="3" t="s">
        <v>230</v>
      </c>
      <c r="B64" s="3" t="str">
        <f>RIGHT(TabelaEquipamentos[[#This Row],[TAG]],6)</f>
        <v>601073</v>
      </c>
      <c r="C64" s="3" t="s">
        <v>36</v>
      </c>
      <c r="D64" s="3" t="s">
        <v>37</v>
      </c>
      <c r="E64" s="3" t="s">
        <v>259</v>
      </c>
      <c r="F64" s="3"/>
      <c r="G64" s="3">
        <v>185</v>
      </c>
      <c r="H64" s="3"/>
      <c r="I64" s="3"/>
      <c r="J64" s="3" t="s">
        <v>41</v>
      </c>
      <c r="K64" s="3">
        <v>9</v>
      </c>
      <c r="L64" s="3"/>
      <c r="M64" s="3"/>
      <c r="N64" s="3"/>
      <c r="O64" s="3"/>
      <c r="P64" s="3"/>
      <c r="Q64" s="3"/>
      <c r="R64" s="3" t="s">
        <v>260</v>
      </c>
      <c r="S64" s="2" t="str">
        <f>LEFT(RIGHT(TabelaEquipamentos[[#This Row],[Observacoes]],11),4)</f>
        <v>6034</v>
      </c>
    </row>
    <row r="65" spans="1:19" ht="28.5">
      <c r="A65" s="3" t="s">
        <v>151</v>
      </c>
      <c r="B65" s="3" t="str">
        <f>RIGHT(TabelaEquipamentos[[#This Row],[TAG]],6)</f>
        <v>S/TAG</v>
      </c>
      <c r="C65" s="3" t="s">
        <v>112</v>
      </c>
      <c r="D65" s="3" t="s">
        <v>37</v>
      </c>
      <c r="E65" s="3" t="s">
        <v>131</v>
      </c>
      <c r="F65" s="3" t="s">
        <v>160</v>
      </c>
      <c r="G65" s="3">
        <v>181</v>
      </c>
      <c r="H65" s="3"/>
      <c r="I65" s="3" t="s">
        <v>101</v>
      </c>
      <c r="J65" s="3" t="s">
        <v>41</v>
      </c>
      <c r="K65" s="3">
        <v>5.9</v>
      </c>
      <c r="L65" s="3"/>
      <c r="M65" s="3"/>
      <c r="N65" s="3"/>
      <c r="O65" s="3"/>
      <c r="P65" s="3"/>
      <c r="Q65" s="3"/>
      <c r="R65" s="3" t="s">
        <v>258</v>
      </c>
      <c r="S65" s="2" t="str">
        <f>LEFT(RIGHT(TabelaEquipamentos[[#This Row],[Observacoes]],11),4)</f>
        <v>5911</v>
      </c>
    </row>
    <row r="66" spans="1:19" ht="28.5">
      <c r="A66" s="3" t="s">
        <v>151</v>
      </c>
      <c r="B66" s="3" t="str">
        <f>RIGHT(TabelaEquipamentos[[#This Row],[TAG]],6)</f>
        <v>S/TAG</v>
      </c>
      <c r="C66" s="3" t="s">
        <v>112</v>
      </c>
      <c r="D66" s="3" t="s">
        <v>37</v>
      </c>
      <c r="E66" s="3" t="s">
        <v>250</v>
      </c>
      <c r="F66" s="3" t="s">
        <v>211</v>
      </c>
      <c r="G66" s="3">
        <v>35.19</v>
      </c>
      <c r="H66" s="3">
        <v>1760</v>
      </c>
      <c r="I66" s="3" t="s">
        <v>101</v>
      </c>
      <c r="J66" s="3" t="s">
        <v>41</v>
      </c>
      <c r="K66" s="3">
        <v>11</v>
      </c>
      <c r="L66" s="3"/>
      <c r="M66" s="3"/>
      <c r="N66" s="3"/>
      <c r="O66" s="3"/>
      <c r="P66" s="3"/>
      <c r="Q66" s="3"/>
      <c r="R66" s="3" t="s">
        <v>257</v>
      </c>
      <c r="S66" s="2" t="str">
        <f>LEFT(RIGHT(TabelaEquipamentos[[#This Row],[Observacoes]],11),4)</f>
        <v>5927</v>
      </c>
    </row>
    <row r="67" spans="1:19" ht="42.75">
      <c r="A67" s="3">
        <v>601244</v>
      </c>
      <c r="B67" s="3" t="str">
        <f>RIGHT(TabelaEquipamentos[[#This Row],[TAG]],6)</f>
        <v>601244</v>
      </c>
      <c r="C67" s="3" t="s">
        <v>112</v>
      </c>
      <c r="D67" s="3" t="s">
        <v>37</v>
      </c>
      <c r="E67" s="3" t="s">
        <v>131</v>
      </c>
      <c r="F67" s="3" t="s">
        <v>148</v>
      </c>
      <c r="G67" s="3">
        <v>72.5</v>
      </c>
      <c r="H67" s="3">
        <v>1750</v>
      </c>
      <c r="I67" s="3" t="s">
        <v>101</v>
      </c>
      <c r="J67" s="3" t="s">
        <v>41</v>
      </c>
      <c r="K67" s="3">
        <v>5.9</v>
      </c>
      <c r="L67" s="3" t="s">
        <v>275</v>
      </c>
      <c r="M67" s="3"/>
      <c r="N67" s="3"/>
      <c r="O67" s="3"/>
      <c r="P67" s="3"/>
      <c r="Q67" s="3"/>
      <c r="R67" s="3" t="s">
        <v>256</v>
      </c>
      <c r="S67" s="2" t="str">
        <f>LEFT(RIGHT(TabelaEquipamentos[[#This Row],[Observacoes]],11),4)</f>
        <v>5929</v>
      </c>
    </row>
    <row r="68" spans="1:19" ht="57">
      <c r="A68" s="3">
        <v>601243</v>
      </c>
      <c r="B68" s="3" t="str">
        <f>RIGHT(TabelaEquipamentos[[#This Row],[TAG]],6)</f>
        <v>601243</v>
      </c>
      <c r="C68" s="3" t="s">
        <v>112</v>
      </c>
      <c r="D68" s="3" t="s">
        <v>37</v>
      </c>
      <c r="E68" s="3" t="s">
        <v>131</v>
      </c>
      <c r="F68" s="3" t="s">
        <v>148</v>
      </c>
      <c r="G68" s="3">
        <v>72.5</v>
      </c>
      <c r="H68" s="3">
        <v>1750</v>
      </c>
      <c r="I68" s="3" t="s">
        <v>101</v>
      </c>
      <c r="J68" s="3" t="s">
        <v>41</v>
      </c>
      <c r="K68" s="3">
        <v>5.9</v>
      </c>
      <c r="L68" s="3" t="s">
        <v>274</v>
      </c>
      <c r="M68" s="3"/>
      <c r="N68" s="3"/>
      <c r="O68" s="3"/>
      <c r="P68" s="3"/>
      <c r="Q68" s="3"/>
      <c r="R68" s="3" t="s">
        <v>255</v>
      </c>
      <c r="S68" s="2" t="str">
        <f>LEFT(RIGHT(TabelaEquipamentos[[#This Row],[Observacoes]],11),4)</f>
        <v>5931</v>
      </c>
    </row>
    <row r="69" spans="1:19" ht="28.5">
      <c r="A69" s="3">
        <v>601252</v>
      </c>
      <c r="B69" s="3" t="str">
        <f>RIGHT(TabelaEquipamentos[[#This Row],[TAG]],6)</f>
        <v>601252</v>
      </c>
      <c r="C69" s="3" t="s">
        <v>112</v>
      </c>
      <c r="D69" s="3" t="s">
        <v>37</v>
      </c>
      <c r="E69" s="3" t="s">
        <v>250</v>
      </c>
      <c r="F69" s="3" t="s">
        <v>271</v>
      </c>
      <c r="G69" s="3">
        <v>97.89</v>
      </c>
      <c r="H69" s="3">
        <v>1752</v>
      </c>
      <c r="I69" s="3" t="s">
        <v>101</v>
      </c>
      <c r="J69" s="3" t="s">
        <v>41</v>
      </c>
      <c r="K69" s="3">
        <v>11</v>
      </c>
      <c r="L69" s="3"/>
      <c r="M69" s="3"/>
      <c r="N69" s="3"/>
      <c r="O69" s="3"/>
      <c r="P69" s="3"/>
      <c r="Q69" s="3"/>
      <c r="R69" s="3" t="s">
        <v>254</v>
      </c>
      <c r="S69" s="2" t="str">
        <f>LEFT(RIGHT(TabelaEquipamentos[[#This Row],[Observacoes]],11),4)</f>
        <v>5934</v>
      </c>
    </row>
    <row r="70" spans="1:19" ht="28.5">
      <c r="A70" s="3" t="s">
        <v>276</v>
      </c>
      <c r="B70" s="3" t="str">
        <f>RIGHT(TabelaEquipamentos[[#This Row],[TAG]],6)</f>
        <v>601068</v>
      </c>
      <c r="C70" s="3" t="s">
        <v>36</v>
      </c>
      <c r="D70" s="3" t="s">
        <v>37</v>
      </c>
      <c r="E70" s="3" t="s">
        <v>252</v>
      </c>
      <c r="F70" s="3" t="s">
        <v>160</v>
      </c>
      <c r="G70" s="3">
        <v>151</v>
      </c>
      <c r="H70" s="3"/>
      <c r="I70" s="3"/>
      <c r="J70" s="3" t="s">
        <v>41</v>
      </c>
      <c r="K70" s="3">
        <v>5.75</v>
      </c>
      <c r="L70" s="3" t="s">
        <v>277</v>
      </c>
      <c r="M70" s="3"/>
      <c r="N70" s="3"/>
      <c r="O70" s="3"/>
      <c r="P70" s="3"/>
      <c r="Q70" s="3"/>
      <c r="R70" s="3" t="s">
        <v>253</v>
      </c>
      <c r="S70" s="2" t="str">
        <f>LEFT(RIGHT(TabelaEquipamentos[[#This Row],[Observacoes]],11),4)</f>
        <v>5936</v>
      </c>
    </row>
    <row r="71" spans="1:19" ht="28.5">
      <c r="A71" s="3" t="s">
        <v>151</v>
      </c>
      <c r="B71" s="3" t="str">
        <f>RIGHT(TabelaEquipamentos[[#This Row],[TAG]],6)</f>
        <v>S/TAG</v>
      </c>
      <c r="C71" s="3" t="s">
        <v>112</v>
      </c>
      <c r="D71" s="3" t="s">
        <v>37</v>
      </c>
      <c r="E71" s="3" t="s">
        <v>250</v>
      </c>
      <c r="F71" s="3" t="s">
        <v>211</v>
      </c>
      <c r="G71" s="3">
        <v>35.19</v>
      </c>
      <c r="H71" s="3">
        <v>1760</v>
      </c>
      <c r="I71" s="3" t="s">
        <v>101</v>
      </c>
      <c r="J71" s="3" t="s">
        <v>41</v>
      </c>
      <c r="K71" s="3">
        <v>11</v>
      </c>
      <c r="L71" s="3"/>
      <c r="M71" s="3"/>
      <c r="N71" s="3"/>
      <c r="O71" s="3"/>
      <c r="P71" s="3"/>
      <c r="Q71" s="3"/>
      <c r="R71" s="3" t="s">
        <v>251</v>
      </c>
      <c r="S71" s="2" t="str">
        <f>LEFT(RIGHT(TabelaEquipamentos[[#This Row],[Observacoes]],11),4)</f>
        <v>5954</v>
      </c>
    </row>
    <row r="72" spans="1:19" ht="28.5">
      <c r="A72" s="3" t="s">
        <v>151</v>
      </c>
      <c r="B72" s="3" t="str">
        <f>RIGHT(TabelaEquipamentos[[#This Row],[TAG]],6)</f>
        <v>S/TAG</v>
      </c>
      <c r="C72" s="3" t="s">
        <v>232</v>
      </c>
      <c r="D72" s="3" t="s">
        <v>201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>
        <v>5964</v>
      </c>
      <c r="S72" s="2" t="str">
        <f>LEFT(RIGHT(TabelaEquipamentos[[#This Row],[Observacoes]],11),4)</f>
        <v>5964</v>
      </c>
    </row>
    <row r="73" spans="1:19">
      <c r="A73" s="3" t="s">
        <v>151</v>
      </c>
      <c r="B73" s="3" t="str">
        <f>RIGHT(TabelaEquipamentos[[#This Row],[TAG]],6)</f>
        <v>S/TAG</v>
      </c>
      <c r="C73" s="3" t="s">
        <v>112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>
        <v>6052</v>
      </c>
      <c r="S73" s="2" t="str">
        <f>LEFT(RIGHT(TabelaEquipamentos[[#This Row],[Observacoes]],11),4)</f>
        <v>6052</v>
      </c>
    </row>
    <row r="74" spans="1:19" ht="28.5">
      <c r="A74" s="3" t="s">
        <v>151</v>
      </c>
      <c r="B74" s="3" t="s">
        <v>151</v>
      </c>
      <c r="C74" s="3" t="s">
        <v>112</v>
      </c>
      <c r="D74" s="3" t="s">
        <v>201</v>
      </c>
      <c r="E74" s="3" t="s">
        <v>202</v>
      </c>
      <c r="F74" s="3" t="s">
        <v>203</v>
      </c>
      <c r="G74" s="3"/>
      <c r="H74" s="3"/>
      <c r="I74" s="3"/>
      <c r="J74" s="3" t="s">
        <v>208</v>
      </c>
      <c r="K74" s="5" t="s">
        <v>204</v>
      </c>
      <c r="L74" s="3"/>
      <c r="M74" s="3"/>
      <c r="N74" s="3"/>
      <c r="O74" s="3"/>
      <c r="P74" s="3"/>
      <c r="Q74" s="3"/>
      <c r="R74" s="3" t="s">
        <v>243</v>
      </c>
      <c r="S74" s="2" t="s">
        <v>233</v>
      </c>
    </row>
    <row r="75" spans="1:19" ht="28.5">
      <c r="A75" s="3" t="s">
        <v>151</v>
      </c>
      <c r="B75" s="3" t="s">
        <v>151</v>
      </c>
      <c r="C75" s="3" t="s">
        <v>112</v>
      </c>
      <c r="D75" s="3" t="s">
        <v>201</v>
      </c>
      <c r="E75" s="3" t="s">
        <v>210</v>
      </c>
      <c r="F75" s="3" t="s">
        <v>211</v>
      </c>
      <c r="G75" s="3">
        <v>39.630000000000003</v>
      </c>
      <c r="H75" s="3"/>
      <c r="I75" s="3"/>
      <c r="J75" s="3" t="s">
        <v>41</v>
      </c>
      <c r="K75" s="3">
        <v>10</v>
      </c>
      <c r="L75" s="3"/>
      <c r="M75" s="3"/>
      <c r="N75" s="3"/>
      <c r="O75" s="3"/>
      <c r="P75" s="3"/>
      <c r="Q75" s="3"/>
      <c r="R75" s="3" t="s">
        <v>248</v>
      </c>
      <c r="S75" s="2" t="s">
        <v>234</v>
      </c>
    </row>
    <row r="76" spans="1:19" ht="57">
      <c r="A76" s="3" t="s">
        <v>213</v>
      </c>
      <c r="B76" s="3" t="s">
        <v>235</v>
      </c>
      <c r="C76" s="3" t="s">
        <v>112</v>
      </c>
      <c r="D76" s="3" t="s">
        <v>201</v>
      </c>
      <c r="E76" s="3" t="s">
        <v>214</v>
      </c>
      <c r="F76" s="3" t="s">
        <v>215</v>
      </c>
      <c r="G76" s="3"/>
      <c r="H76" s="3"/>
      <c r="I76" s="3"/>
      <c r="J76" s="3" t="s">
        <v>41</v>
      </c>
      <c r="K76" s="3">
        <v>12</v>
      </c>
      <c r="L76" s="3" t="s">
        <v>216</v>
      </c>
      <c r="M76" s="3"/>
      <c r="N76" s="3"/>
      <c r="O76" s="3"/>
      <c r="P76" s="3"/>
      <c r="Q76" s="3"/>
      <c r="R76" s="3" t="s">
        <v>244</v>
      </c>
      <c r="S76" s="2" t="s">
        <v>236</v>
      </c>
    </row>
    <row r="77" spans="1:19" ht="57">
      <c r="A77" s="3" t="s">
        <v>218</v>
      </c>
      <c r="B77" s="3" t="s">
        <v>237</v>
      </c>
      <c r="C77" s="3" t="s">
        <v>112</v>
      </c>
      <c r="D77" s="3" t="s">
        <v>201</v>
      </c>
      <c r="E77" s="3" t="s">
        <v>214</v>
      </c>
      <c r="F77" s="3" t="s">
        <v>215</v>
      </c>
      <c r="G77" s="3"/>
      <c r="H77" s="3"/>
      <c r="I77" s="3"/>
      <c r="J77" s="3" t="s">
        <v>41</v>
      </c>
      <c r="K77" s="3">
        <v>12</v>
      </c>
      <c r="L77" s="3" t="s">
        <v>219</v>
      </c>
      <c r="M77" s="3"/>
      <c r="N77" s="3"/>
      <c r="O77" s="3"/>
      <c r="P77" s="3"/>
      <c r="Q77" s="3"/>
      <c r="R77" s="3" t="s">
        <v>245</v>
      </c>
      <c r="S77" s="2" t="s">
        <v>238</v>
      </c>
    </row>
    <row r="78" spans="1:19" ht="57">
      <c r="A78" s="3" t="s">
        <v>221</v>
      </c>
      <c r="B78" s="3" t="s">
        <v>239</v>
      </c>
      <c r="C78" s="3" t="s">
        <v>112</v>
      </c>
      <c r="D78" s="3" t="s">
        <v>201</v>
      </c>
      <c r="E78" s="3" t="s">
        <v>214</v>
      </c>
      <c r="F78" s="3" t="s">
        <v>215</v>
      </c>
      <c r="G78" s="3"/>
      <c r="H78" s="3"/>
      <c r="I78" s="3"/>
      <c r="J78" s="3" t="s">
        <v>41</v>
      </c>
      <c r="K78" s="3">
        <v>12</v>
      </c>
      <c r="L78" s="3" t="s">
        <v>222</v>
      </c>
      <c r="M78" s="3"/>
      <c r="N78" s="3"/>
      <c r="O78" s="3"/>
      <c r="P78" s="3"/>
      <c r="Q78" s="3"/>
      <c r="R78" s="3" t="s">
        <v>246</v>
      </c>
      <c r="S78" s="2" t="s">
        <v>240</v>
      </c>
    </row>
    <row r="79" spans="1:19" ht="71.25">
      <c r="A79" s="3" t="s">
        <v>224</v>
      </c>
      <c r="B79" s="3" t="s">
        <v>241</v>
      </c>
      <c r="C79" s="3" t="s">
        <v>112</v>
      </c>
      <c r="D79" s="3" t="s">
        <v>201</v>
      </c>
      <c r="E79" s="3" t="s">
        <v>214</v>
      </c>
      <c r="F79" s="3" t="s">
        <v>225</v>
      </c>
      <c r="G79" s="3"/>
      <c r="H79" s="3"/>
      <c r="I79" s="3"/>
      <c r="J79" s="3" t="s">
        <v>41</v>
      </c>
      <c r="K79" s="3">
        <v>12</v>
      </c>
      <c r="L79" s="3" t="s">
        <v>227</v>
      </c>
      <c r="M79" s="3"/>
      <c r="N79" s="3"/>
      <c r="O79" s="3"/>
      <c r="P79" s="3"/>
      <c r="Q79" s="3"/>
      <c r="R79" s="3" t="s">
        <v>247</v>
      </c>
      <c r="S79" s="2" t="s">
        <v>242</v>
      </c>
    </row>
    <row r="80" spans="1:19" ht="71.25">
      <c r="A80" s="3" t="s">
        <v>229</v>
      </c>
      <c r="B80" s="3" t="str">
        <f>RIGHT(TabelaEquipamentos[[#This Row],[TAG]],6)</f>
        <v>601245</v>
      </c>
      <c r="C80" s="3" t="s">
        <v>112</v>
      </c>
      <c r="D80" s="3" t="s">
        <v>201</v>
      </c>
      <c r="E80" s="3" t="s">
        <v>262</v>
      </c>
      <c r="F80" s="3"/>
      <c r="G80" s="3"/>
      <c r="H80" s="3"/>
      <c r="I80" s="3"/>
      <c r="J80" s="3" t="s">
        <v>41</v>
      </c>
      <c r="K80" s="3">
        <v>12</v>
      </c>
      <c r="L80" s="3" t="s">
        <v>263</v>
      </c>
      <c r="M80" s="3"/>
      <c r="N80" s="3"/>
      <c r="O80" s="3"/>
      <c r="P80" s="3"/>
      <c r="Q80" s="3"/>
      <c r="R80" s="3" t="s">
        <v>265</v>
      </c>
      <c r="S80" s="2" t="str">
        <f>LEFT(RIGHT(TabelaEquipamentos[[#This Row],[Observacoes]],11),4)</f>
        <v>6013</v>
      </c>
    </row>
    <row r="81" spans="1:19" ht="28.5">
      <c r="A81" s="3" t="s">
        <v>151</v>
      </c>
      <c r="B81" s="3" t="str">
        <f>RIGHT(TabelaEquipamentos[[#This Row],[TAG]],6)</f>
        <v>S/TAG</v>
      </c>
      <c r="C81" s="3" t="s">
        <v>36</v>
      </c>
      <c r="D81" s="3" t="s">
        <v>206</v>
      </c>
      <c r="E81" s="3"/>
      <c r="F81" s="3" t="s">
        <v>207</v>
      </c>
      <c r="G81" s="3"/>
      <c r="H81" s="3"/>
      <c r="I81" s="3"/>
      <c r="J81" s="3" t="s">
        <v>41</v>
      </c>
      <c r="K81" s="3">
        <v>3</v>
      </c>
      <c r="L81" s="3"/>
      <c r="M81" s="3"/>
      <c r="N81" s="3"/>
      <c r="O81" s="3"/>
      <c r="P81" s="3"/>
      <c r="Q81" s="3"/>
      <c r="R81" s="3" t="s">
        <v>249</v>
      </c>
      <c r="S81" s="2" t="str">
        <f>LEFT(RIGHT(TabelaEquipamentos[[#This Row],[Observacoes]],11),4)</f>
        <v>6028</v>
      </c>
    </row>
    <row r="83" spans="1:19">
      <c r="A83" s="7" t="s">
        <v>266</v>
      </c>
      <c r="B83" s="6"/>
      <c r="C83" s="6">
        <f>COUNTA(TabelaEquipamentos[[#All],[Fabricante]])-1</f>
        <v>80</v>
      </c>
    </row>
    <row r="84" spans="1:19">
      <c r="A84" s="8" t="s">
        <v>267</v>
      </c>
      <c r="C84" s="2">
        <f>COUNTIF(TabelaEquipamentos[[#All],[Fabricante]],"SEW")</f>
        <v>29</v>
      </c>
    </row>
    <row r="85" spans="1:19">
      <c r="A85" s="8" t="s">
        <v>268</v>
      </c>
      <c r="C85" s="2">
        <f>COUNTIF(TabelaEquipamentos[[#All],[Fabricante]],"PROMOEN")</f>
        <v>16</v>
      </c>
    </row>
    <row r="86" spans="1:19">
      <c r="A86" s="8" t="s">
        <v>269</v>
      </c>
      <c r="C86" s="2">
        <f>COUNTIF(TabelaEquipamentos[[#All],[Fabricante]],"WEG CESTARI")</f>
        <v>34</v>
      </c>
    </row>
    <row r="87" spans="1:19">
      <c r="A87" s="8" t="s">
        <v>270</v>
      </c>
      <c r="C87" s="2">
        <f>COUNTIF(TabelaEquipamentos[[#All],[Fabricante]],"BREVINI")</f>
        <v>1</v>
      </c>
    </row>
  </sheetData>
  <phoneticPr fontId="3" type="noConversion"/>
  <conditionalFormatting sqref="B1:B1048576">
    <cfRule type="duplicateValues" dxfId="1" priority="2"/>
  </conditionalFormatting>
  <conditionalFormatting sqref="S1:S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9" t="s">
        <v>17</v>
      </c>
      <c r="B1" s="9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2026-05-19T18:52:00Z</cp:lastPrinted>
  <dcterms:created xsi:type="dcterms:W3CDTF">2026-06-09T19:30:54Z</dcterms:created>
  <dcterms:modified xsi:type="dcterms:W3CDTF">2026-06-10T18:54:10Z</dcterms:modified>
</cp:coreProperties>
</file>