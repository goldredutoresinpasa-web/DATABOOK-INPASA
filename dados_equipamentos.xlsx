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2582EE71-78BA-4A88-A786-34F438D5167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<sst xmlns="http://schemas.openxmlformats.org/spreadsheetml/2006/main" count="275" uniqueCount="135">
  <si>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</si>
  <si>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</si>
  <si>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</si>
  <si>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</si>
  <si>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</si>
  <si>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</si>
  <si>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</si>
  <si>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</si>
  <si>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</si>
  <si>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</si>
  <si>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</si>
  <si>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</si>
  <si>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</si>
  <si>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</si>
  <si>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</si>
  <si>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</si>
  <si>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</si>
  <si>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</si>
  <si>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</si>
  <si>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</si>
  <si>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</si>
  <si>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</si>
  <si>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</si>
  <si>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</si>
  <si>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</si>
  <si>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</si>
  <si>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</si>
  <si>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</si>
  <si>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</si>
  <si>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</si>
  <si>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</si>
  <si>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</si>
  <si>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</si>
  <si>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</si>
  <si>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</si>
  <si>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</si>
  <si>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</si>
  <si>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</si>
  <si>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>OS Nº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</si>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</sst>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20" headerRowDxfId="24" dataDxfId="23" totalsRowDxfId="22">
  <autoFilter ref="A1:R20" xr:uid="{00000000-000C-0000-FFFF-FFFF00000000}"/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Certificado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OS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zoomScale="85" zoomScaleNormal="8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C2" sqref="C2:C20"/>
    </sheetView>
  </sheetViews>
  <sheetFormatPr defaultRowHeight="14.25"/>
  <cols>
    <col min="1" max="1" width="25.375" style="2" bestFit="1" customWidth="1"/>
    <col min="2" max="2" width="15.25" style="2" customWidth="1"/>
    <col min="3" max="3" width="18.5" style="2" customWidth="1"/>
    <col min="4" max="4" width="17.125" style="2" customWidth="1"/>
    <col min="5" max="5" width="16.625" style="2" customWidth="1"/>
    <col min="6" max="6" width="15.625" style="2" customWidth="1"/>
    <col min="7" max="7" width="12.125" style="2" customWidth="1"/>
    <col min="8" max="8" width="8.25" style="2" customWidth="1"/>
    <col min="9" max="9" width="13.625" style="2" customWidth="1"/>
    <col min="10" max="10" width="15.125" style="2" customWidth="1"/>
    <col min="11" max="11" width="16.75" style="2" customWidth="1"/>
    <col min="12" max="12" width="21.875" style="2" customWidth="1"/>
    <col min="13" max="13" width="12.875" style="2" customWidth="1"/>
    <col min="14" max="14" width="16.125" style="2" bestFit="1" customWidth="1"/>
    <col min="15" max="15" width="11.75" style="2" bestFit="1" customWidth="1"/>
    <col min="16" max="16" width="14.875" style="2" bestFit="1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38</v>
      </c>
    </row>
    <row r="2" spans="1:18" ht="57">
      <c r="A2" s="4" t="s">
        <v>40</v>
      </c>
      <c r="B2" s="4" t="s">
        <v>36</v>
      </c>
      <c r="C2" s="4" t="str">
        <f>CONCATENATE("MOTOREDUTOR"," ",TabelaEquipamentos[[#This Row],[Fabricante]])</f>
        <v>MOTOREDUTOR WEG CESTARI</v>
      </c>
      <c r="D2" s="4" t="s">
        <v>48</v>
      </c>
      <c r="E2" s="4" t="s">
        <v>49</v>
      </c>
      <c r="F2" s="4">
        <v>41.4</v>
      </c>
      <c r="G2" s="4">
        <v>1750</v>
      </c>
      <c r="H2" s="4" t="s">
        <v>50</v>
      </c>
      <c r="I2" s="4" t="s">
        <v>37</v>
      </c>
      <c r="J2" s="4" t="s">
        <v>51</v>
      </c>
      <c r="K2" s="4" t="s">
        <v>52</v>
      </c>
      <c r="L2" s="4" t="s">
        <v>92</v>
      </c>
      <c r="M2" s="4" t="s">
        <v>93</v>
      </c>
      <c r="N2" s="4" t="s">
        <v>39</v>
      </c>
      <c r="O2" s="4"/>
      <c r="P2" s="4"/>
      <c r="Q2" s="4" t="s">
        <v>53</v>
      </c>
      <c r="R2" s="2" t="s">
        <v>54</v>
      </c>
    </row>
    <row r="3" spans="1:18" ht="57">
      <c r="A3" s="4" t="s">
        <v>41</v>
      </c>
      <c r="B3" s="4" t="s">
        <v>36</v>
      </c>
      <c r="C3" s="4" t="str">
        <f>CONCATENATE("MOTOREDUTOR"," ",TabelaEquipamentos[[#This Row],[Fabricante]])</f>
        <v>MOTOREDUTOR WEG CESTARI</v>
      </c>
      <c r="D3" s="4" t="s">
        <v>48</v>
      </c>
      <c r="E3" s="4" t="s">
        <v>49</v>
      </c>
      <c r="F3" s="4">
        <v>41.4</v>
      </c>
      <c r="G3" s="4">
        <v>1750</v>
      </c>
      <c r="H3" s="4" t="s">
        <v>50</v>
      </c>
      <c r="I3" s="4" t="s">
        <v>37</v>
      </c>
      <c r="J3" s="4" t="s">
        <v>51</v>
      </c>
      <c r="K3" s="4" t="s">
        <v>55</v>
      </c>
      <c r="L3" s="4" t="s">
        <v>94</v>
      </c>
      <c r="M3" s="4" t="s">
        <v>93</v>
      </c>
      <c r="N3" s="4" t="s">
        <v>39</v>
      </c>
      <c r="O3" s="4"/>
      <c r="P3" s="4"/>
      <c r="Q3" s="4" t="s">
        <v>56</v>
      </c>
      <c r="R3" s="2" t="s">
        <v>57</v>
      </c>
    </row>
    <row r="4" spans="1:18" ht="57">
      <c r="A4" s="4" t="s">
        <v>42</v>
      </c>
      <c r="B4" s="4" t="s">
        <v>36</v>
      </c>
      <c r="C4" s="4" t="str">
        <f>CONCATENATE("MOTOREDUTOR"," ",TabelaEquipamentos[[#This Row],[Fabricante]])</f>
        <v>MOTOREDUTOR WEG CESTARI</v>
      </c>
      <c r="D4" s="4" t="s">
        <v>48</v>
      </c>
      <c r="E4" s="4" t="s">
        <v>49</v>
      </c>
      <c r="F4" s="4">
        <v>41.4</v>
      </c>
      <c r="G4" s="4">
        <v>1750</v>
      </c>
      <c r="H4" s="4" t="s">
        <v>50</v>
      </c>
      <c r="I4" s="4" t="s">
        <v>37</v>
      </c>
      <c r="J4" s="4" t="s">
        <v>51</v>
      </c>
      <c r="K4" s="4" t="s">
        <v>58</v>
      </c>
      <c r="L4" s="4" t="s">
        <v>95</v>
      </c>
      <c r="M4" s="4" t="s">
        <v>93</v>
      </c>
      <c r="N4" s="4" t="s">
        <v>39</v>
      </c>
      <c r="O4" s="4"/>
      <c r="P4" s="4"/>
      <c r="Q4" s="4" t="s">
        <v>59</v>
      </c>
      <c r="R4" s="2" t="s">
        <v>60</v>
      </c>
    </row>
    <row r="5" spans="1:18" ht="57">
      <c r="A5" s="4" t="s">
        <v>43</v>
      </c>
      <c r="B5" s="4" t="s">
        <v>36</v>
      </c>
      <c r="C5" s="4" t="str">
        <f>CONCATENATE("MOTOREDUTOR"," ",TabelaEquipamentos[[#This Row],[Fabricante]])</f>
        <v>MOTOREDUTOR WEG CESTARI</v>
      </c>
      <c r="D5" s="4" t="s">
        <v>48</v>
      </c>
      <c r="E5" s="4" t="s">
        <v>49</v>
      </c>
      <c r="F5" s="4">
        <v>41.4</v>
      </c>
      <c r="G5" s="4">
        <v>1750</v>
      </c>
      <c r="H5" s="4" t="s">
        <v>50</v>
      </c>
      <c r="I5" s="4" t="s">
        <v>37</v>
      </c>
      <c r="J5" s="4" t="s">
        <v>51</v>
      </c>
      <c r="K5" s="4" t="s">
        <v>61</v>
      </c>
      <c r="L5" s="4" t="s">
        <v>96</v>
      </c>
      <c r="M5" s="4" t="s">
        <v>93</v>
      </c>
      <c r="N5" s="4" t="s">
        <v>39</v>
      </c>
      <c r="O5" s="4"/>
      <c r="P5" s="4"/>
      <c r="Q5" s="4" t="s">
        <v>62</v>
      </c>
      <c r="R5" s="2" t="s">
        <v>63</v>
      </c>
    </row>
    <row r="6" spans="1:18" ht="57">
      <c r="A6" s="4" t="s">
        <v>44</v>
      </c>
      <c r="B6" s="4" t="s">
        <v>36</v>
      </c>
      <c r="C6" s="4" t="str">
        <f>CONCATENATE("MOTOREDUTOR"," ",TabelaEquipamentos[[#This Row],[Fabricante]])</f>
        <v>MOTOREDUTOR WEG CESTARI</v>
      </c>
      <c r="D6" s="4" t="s">
        <v>64</v>
      </c>
      <c r="E6" s="4" t="s">
        <v>65</v>
      </c>
      <c r="F6" s="4">
        <v>43.65</v>
      </c>
      <c r="G6" s="4">
        <v>1750</v>
      </c>
      <c r="H6" s="4" t="s">
        <v>50</v>
      </c>
      <c r="I6" s="4" t="s">
        <v>37</v>
      </c>
      <c r="J6" s="4" t="s">
        <v>66</v>
      </c>
      <c r="K6" s="4" t="s">
        <v>67</v>
      </c>
      <c r="L6" s="4" t="s">
        <v>98</v>
      </c>
      <c r="M6" s="4" t="s">
        <v>93</v>
      </c>
      <c r="N6" s="4" t="s">
        <v>39</v>
      </c>
      <c r="O6" s="4"/>
      <c r="P6" s="4"/>
      <c r="Q6" s="4" t="s">
        <v>68</v>
      </c>
      <c r="R6" s="2" t="s">
        <v>69</v>
      </c>
    </row>
    <row r="7" spans="1:18" ht="57">
      <c r="A7" s="4" t="s">
        <v>45</v>
      </c>
      <c r="B7" s="4" t="s">
        <v>36</v>
      </c>
      <c r="C7" s="4" t="str">
        <f>CONCATENATE("MOTOREDUTOR"," ",TabelaEquipamentos[[#This Row],[Fabricante]])</f>
        <v>MOTOREDUTOR WEG CESTARI</v>
      </c>
      <c r="D7" s="4" t="s">
        <v>64</v>
      </c>
      <c r="E7" s="4" t="s">
        <v>65</v>
      </c>
      <c r="F7" s="4">
        <v>43.65</v>
      </c>
      <c r="G7" s="4">
        <v>1750</v>
      </c>
      <c r="H7" s="4" t="s">
        <v>50</v>
      </c>
      <c r="I7" s="4" t="s">
        <v>37</v>
      </c>
      <c r="J7" s="4" t="s">
        <v>66</v>
      </c>
      <c r="K7" s="4" t="s">
        <v>70</v>
      </c>
      <c r="L7" s="4" t="s">
        <v>99</v>
      </c>
      <c r="M7" s="4" t="s">
        <v>93</v>
      </c>
      <c r="N7" s="4" t="s">
        <v>39</v>
      </c>
      <c r="O7" s="4"/>
      <c r="P7" s="4"/>
      <c r="Q7" s="4" t="s">
        <v>71</v>
      </c>
      <c r="R7" s="2" t="s">
        <v>72</v>
      </c>
    </row>
    <row r="8" spans="1:18" ht="57">
      <c r="A8" s="4" t="s">
        <v>46</v>
      </c>
      <c r="B8" s="4" t="s">
        <v>36</v>
      </c>
      <c r="C8" s="4" t="str">
        <f>CONCATENATE("MOTOREDUTOR"," ",TabelaEquipamentos[[#This Row],[Fabricante]])</f>
        <v>MOTOREDUTOR WEG CESTARI</v>
      </c>
      <c r="D8" s="4" t="s">
        <v>73</v>
      </c>
      <c r="E8" s="4" t="s">
        <v>74</v>
      </c>
      <c r="F8" s="4">
        <v>41.4</v>
      </c>
      <c r="G8" s="4">
        <v>1750</v>
      </c>
      <c r="H8" s="4" t="s">
        <v>50</v>
      </c>
      <c r="I8" s="4" t="s">
        <v>37</v>
      </c>
      <c r="J8" s="4" t="s">
        <v>51</v>
      </c>
      <c r="K8" s="4" t="s">
        <v>75</v>
      </c>
      <c r="L8" s="4" t="s">
        <v>97</v>
      </c>
      <c r="M8" s="4" t="s">
        <v>93</v>
      </c>
      <c r="N8" s="4" t="s">
        <v>39</v>
      </c>
      <c r="O8" s="4"/>
      <c r="P8" s="4"/>
      <c r="Q8" s="4" t="s">
        <v>76</v>
      </c>
      <c r="R8" s="2" t="s">
        <v>77</v>
      </c>
    </row>
    <row r="9" spans="1:18" ht="57">
      <c r="A9" s="4" t="s">
        <v>47</v>
      </c>
      <c r="B9" s="4" t="s">
        <v>36</v>
      </c>
      <c r="C9" s="4" t="str">
        <f>CONCATENATE("MOTOREDUTOR"," ",TabelaEquipamentos[[#This Row],[Fabricante]])</f>
        <v>MOTOREDUTOR WEG CESTARI</v>
      </c>
      <c r="D9" s="4" t="s">
        <v>78</v>
      </c>
      <c r="E9" s="4" t="s">
        <v>79</v>
      </c>
      <c r="F9" s="4">
        <v>43.65</v>
      </c>
      <c r="G9" s="4">
        <v>1750</v>
      </c>
      <c r="H9" s="4" t="s">
        <v>50</v>
      </c>
      <c r="I9" s="4" t="s">
        <v>37</v>
      </c>
      <c r="J9" s="4" t="s">
        <v>66</v>
      </c>
      <c r="K9" s="4" t="s">
        <v>80</v>
      </c>
      <c r="L9" s="4" t="s">
        <v>100</v>
      </c>
      <c r="M9" s="4" t="s">
        <v>93</v>
      </c>
      <c r="N9" s="4" t="s">
        <v>39</v>
      </c>
      <c r="O9" s="4"/>
      <c r="P9" s="4"/>
      <c r="Q9" s="4" t="s">
        <v>81</v>
      </c>
      <c r="R9" s="2" t="s">
        <v>82</v>
      </c>
    </row>
    <row r="10" spans="1:18" ht="57">
      <c r="A10" s="4" t="s">
        <v>83</v>
      </c>
      <c r="B10" s="4" t="s">
        <v>36</v>
      </c>
      <c r="C10" s="4" t="str">
        <f>CONCATENATE("MOTOREDUTOR"," ",TabelaEquipamentos[[#This Row],[Fabricante]])</f>
        <v>MOTOREDUTOR WEG CESTARI</v>
      </c>
      <c r="D10" s="4" t="s">
        <v>64</v>
      </c>
      <c r="E10" s="4" t="s">
        <v>84</v>
      </c>
      <c r="F10" s="4">
        <v>43.65</v>
      </c>
      <c r="G10" s="4">
        <v>1750</v>
      </c>
      <c r="H10" s="4" t="s">
        <v>50</v>
      </c>
      <c r="I10" s="4" t="s">
        <v>37</v>
      </c>
      <c r="J10" s="4" t="s">
        <v>66</v>
      </c>
      <c r="K10" s="4" t="s">
        <v>85</v>
      </c>
      <c r="L10" s="4" t="s">
        <v>100</v>
      </c>
      <c r="M10" s="4" t="s">
        <v>93</v>
      </c>
      <c r="N10" s="4" t="s">
        <v>39</v>
      </c>
      <c r="O10" s="4"/>
      <c r="P10" s="4"/>
      <c r="Q10" s="4" t="s">
        <v>86</v>
      </c>
      <c r="R10" s="2" t="s">
        <v>87</v>
      </c>
    </row>
    <row r="11" spans="1:18" ht="57">
      <c r="A11" s="3" t="s">
        <v>88</v>
      </c>
      <c r="B11" s="4" t="s">
        <v>36</v>
      </c>
      <c r="C11" s="4" t="str">
        <f>CONCATENATE("MOTOREDUTOR"," ",TabelaEquipamentos[[#This Row],[Fabricante]])</f>
        <v>MOTOREDUTOR WEG CESTARI</v>
      </c>
      <c r="D11" s="4" t="s">
        <v>48</v>
      </c>
      <c r="E11" s="4" t="s">
        <v>74</v>
      </c>
      <c r="F11" s="4">
        <v>41.4</v>
      </c>
      <c r="G11" s="4">
        <v>1750</v>
      </c>
      <c r="H11" s="4" t="s">
        <v>50</v>
      </c>
      <c r="I11" s="4" t="s">
        <v>37</v>
      </c>
      <c r="J11" s="4" t="s">
        <v>51</v>
      </c>
      <c r="K11" s="4" t="s">
        <v>89</v>
      </c>
      <c r="L11" s="4" t="s">
        <v>100</v>
      </c>
      <c r="M11" s="4" t="s">
        <v>93</v>
      </c>
      <c r="N11" s="4" t="s">
        <v>39</v>
      </c>
      <c r="O11" s="4"/>
      <c r="P11" s="4"/>
      <c r="Q11" s="4" t="s">
        <v>90</v>
      </c>
      <c r="R11" s="2" t="s">
        <v>91</v>
      </c>
    </row>
    <row r="12" spans="1:18" ht="57">
      <c r="A12" s="3" t="s">
        <v>101</v>
      </c>
      <c r="B12" s="4" t="s">
        <v>36</v>
      </c>
      <c r="C12" s="4" t="str">
        <f>CONCATENATE("MOTOREDUTOR"," ",TabelaEquipamentos[[#This Row],[Fabricante]])</f>
        <v>MOTOREDUTOR WEG CESTARI</v>
      </c>
      <c r="D12" s="4" t="s">
        <v>110</v>
      </c>
      <c r="E12" s="4" t="s">
        <v>111</v>
      </c>
      <c r="F12" s="4">
        <v>180.35</v>
      </c>
      <c r="G12" s="4">
        <v>1750</v>
      </c>
      <c r="H12" s="4" t="s">
        <v>112</v>
      </c>
      <c r="I12" s="4" t="s">
        <v>37</v>
      </c>
      <c r="J12" s="4" t="s">
        <v>113</v>
      </c>
      <c r="K12" s="4" t="s">
        <v>114</v>
      </c>
      <c r="L12" s="4" t="s">
        <v>115</v>
      </c>
      <c r="M12" s="4" t="s">
        <v>116</v>
      </c>
      <c r="N12" s="4" t="s">
        <v>117</v>
      </c>
      <c r="O12" s="4"/>
      <c r="P12" s="4"/>
      <c r="Q12" s="2" t="s">
        <v>134</v>
      </c>
    </row>
    <row r="13" spans="1:18" ht="57">
      <c r="A13" s="3" t="s">
        <v>102</v>
      </c>
      <c r="B13" s="4" t="s">
        <v>36</v>
      </c>
      <c r="C13" s="4" t="str">
        <f>CONCATENATE("MOTOREDUTOR"," ",TabelaEquipamentos[[#This Row],[Fabricante]])</f>
        <v>MOTOREDUTOR WEG CESTARI</v>
      </c>
      <c r="D13" s="4" t="s">
        <v>110</v>
      </c>
      <c r="E13" s="4" t="s">
        <v>111</v>
      </c>
      <c r="F13" s="4">
        <v>180.35</v>
      </c>
      <c r="G13" s="4">
        <v>1750</v>
      </c>
      <c r="H13" s="4" t="s">
        <v>112</v>
      </c>
      <c r="I13" s="4" t="s">
        <v>37</v>
      </c>
      <c r="J13" s="4" t="s">
        <v>113</v>
      </c>
      <c r="K13" s="4" t="s">
        <v>118</v>
      </c>
      <c r="L13" s="4" t="s">
        <v>115</v>
      </c>
      <c r="M13" s="4" t="s">
        <v>116</v>
      </c>
      <c r="N13" s="4" t="s">
        <v>117</v>
      </c>
      <c r="O13" s="4"/>
      <c r="P13" s="4"/>
      <c r="Q13" s="2" t="s">
        <v>126</v>
      </c>
    </row>
    <row r="14" spans="1:18" ht="57">
      <c r="A14" s="3" t="s">
        <v>103</v>
      </c>
      <c r="B14" s="4" t="s">
        <v>36</v>
      </c>
      <c r="C14" s="4" t="str">
        <f>CONCATENATE("MOTOREDUTOR"," ",TabelaEquipamentos[[#This Row],[Fabricante]])</f>
        <v>MOTOREDUTOR WEG CESTARI</v>
      </c>
      <c r="D14" s="4" t="s">
        <v>110</v>
      </c>
      <c r="E14" s="4" t="s">
        <v>111</v>
      </c>
      <c r="F14" s="4">
        <v>180.35</v>
      </c>
      <c r="G14" s="4">
        <v>1750</v>
      </c>
      <c r="H14" s="4" t="s">
        <v>112</v>
      </c>
      <c r="I14" s="4" t="s">
        <v>37</v>
      </c>
      <c r="J14" s="4" t="s">
        <v>113</v>
      </c>
      <c r="K14" s="4" t="s">
        <v>119</v>
      </c>
      <c r="L14" s="4" t="s">
        <v>115</v>
      </c>
      <c r="M14" s="4" t="s">
        <v>116</v>
      </c>
      <c r="N14" s="4" t="s">
        <v>117</v>
      </c>
      <c r="O14" s="4"/>
      <c r="P14" s="4"/>
      <c r="Q14" s="2" t="s">
        <v>127</v>
      </c>
    </row>
    <row r="15" spans="1:18" ht="57">
      <c r="A15" s="3" t="s">
        <v>104</v>
      </c>
      <c r="B15" s="4" t="s">
        <v>36</v>
      </c>
      <c r="C15" s="4" t="str">
        <f>CONCATENATE("MOTOREDUTOR"," ",TabelaEquipamentos[[#This Row],[Fabricante]])</f>
        <v>MOTOREDUTOR WEG CESTARI</v>
      </c>
      <c r="D15" s="4" t="s">
        <v>110</v>
      </c>
      <c r="E15" s="4" t="s">
        <v>111</v>
      </c>
      <c r="F15" s="4">
        <v>180.35</v>
      </c>
      <c r="G15" s="4">
        <v>1750</v>
      </c>
      <c r="H15" s="4" t="s">
        <v>112</v>
      </c>
      <c r="I15" s="4" t="s">
        <v>37</v>
      </c>
      <c r="J15" s="4" t="s">
        <v>113</v>
      </c>
      <c r="K15" s="4" t="s">
        <v>120</v>
      </c>
      <c r="L15" s="4" t="s">
        <v>115</v>
      </c>
      <c r="M15" s="4" t="s">
        <v>116</v>
      </c>
      <c r="N15" s="4" t="s">
        <v>117</v>
      </c>
      <c r="O15" s="4"/>
      <c r="P15" s="4"/>
      <c r="Q15" s="2" t="s">
        <v>128</v>
      </c>
    </row>
    <row r="16" spans="1:18" ht="57">
      <c r="A16" s="3" t="s">
        <v>105</v>
      </c>
      <c r="B16" s="4" t="s">
        <v>36</v>
      </c>
      <c r="C16" s="4" t="str">
        <f>CONCATENATE("MOTOREDUTOR"," ",TabelaEquipamentos[[#This Row],[Fabricante]])</f>
        <v>MOTOREDUTOR WEG CESTARI</v>
      </c>
      <c r="D16" s="4" t="s">
        <v>110</v>
      </c>
      <c r="E16" s="4" t="s">
        <v>111</v>
      </c>
      <c r="F16" s="4">
        <v>180.35</v>
      </c>
      <c r="G16" s="4">
        <v>1750</v>
      </c>
      <c r="H16" s="4" t="s">
        <v>112</v>
      </c>
      <c r="I16" s="4" t="s">
        <v>37</v>
      </c>
      <c r="J16" s="4" t="s">
        <v>113</v>
      </c>
      <c r="K16" s="4" t="s">
        <v>121</v>
      </c>
      <c r="L16" s="4" t="s">
        <v>115</v>
      </c>
      <c r="M16" s="4" t="s">
        <v>116</v>
      </c>
      <c r="N16" s="4" t="s">
        <v>117</v>
      </c>
      <c r="O16" s="4"/>
      <c r="P16" s="4"/>
      <c r="Q16" s="2" t="s">
        <v>129</v>
      </c>
    </row>
    <row r="17" spans="1:17" ht="57">
      <c r="A17" s="3" t="s">
        <v>106</v>
      </c>
      <c r="B17" s="4" t="s">
        <v>36</v>
      </c>
      <c r="C17" s="4" t="str">
        <f>CONCATENATE("MOTOREDUTOR"," ",TabelaEquipamentos[[#This Row],[Fabricante]])</f>
        <v>MOTOREDUTOR WEG CESTARI</v>
      </c>
      <c r="D17" s="4" t="s">
        <v>110</v>
      </c>
      <c r="E17" s="4" t="s">
        <v>111</v>
      </c>
      <c r="F17" s="4">
        <v>180.35</v>
      </c>
      <c r="G17" s="4">
        <v>1750</v>
      </c>
      <c r="H17" s="4" t="s">
        <v>112</v>
      </c>
      <c r="I17" s="4" t="s">
        <v>37</v>
      </c>
      <c r="J17" s="4" t="s">
        <v>113</v>
      </c>
      <c r="K17" s="4" t="s">
        <v>122</v>
      </c>
      <c r="L17" s="4" t="s">
        <v>115</v>
      </c>
      <c r="M17" s="4" t="s">
        <v>116</v>
      </c>
      <c r="N17" s="4" t="s">
        <v>117</v>
      </c>
      <c r="O17" s="4"/>
      <c r="P17" s="4"/>
      <c r="Q17" s="2" t="s">
        <v>130</v>
      </c>
    </row>
    <row r="18" spans="1:17" ht="57">
      <c r="A18" s="3" t="s">
        <v>107</v>
      </c>
      <c r="B18" s="4" t="s">
        <v>36</v>
      </c>
      <c r="C18" s="4" t="str">
        <f>CONCATENATE("MOTOREDUTOR"," ",TabelaEquipamentos[[#This Row],[Fabricante]])</f>
        <v>MOTOREDUTOR WEG CESTARI</v>
      </c>
      <c r="D18" s="4" t="s">
        <v>110</v>
      </c>
      <c r="E18" s="4" t="s">
        <v>111</v>
      </c>
      <c r="F18" s="4">
        <v>180.35</v>
      </c>
      <c r="G18" s="4">
        <v>1750</v>
      </c>
      <c r="H18" s="4" t="s">
        <v>112</v>
      </c>
      <c r="I18" s="4" t="s">
        <v>37</v>
      </c>
      <c r="J18" s="4" t="s">
        <v>113</v>
      </c>
      <c r="K18" s="4" t="s">
        <v>123</v>
      </c>
      <c r="L18" s="4" t="s">
        <v>115</v>
      </c>
      <c r="M18" s="4" t="s">
        <v>116</v>
      </c>
      <c r="N18" s="4" t="s">
        <v>117</v>
      </c>
      <c r="O18" s="4"/>
      <c r="P18" s="4"/>
      <c r="Q18" s="2" t="s">
        <v>131</v>
      </c>
    </row>
    <row r="19" spans="1:17" ht="57">
      <c r="A19" s="3" t="s">
        <v>108</v>
      </c>
      <c r="B19" s="4" t="s">
        <v>36</v>
      </c>
      <c r="C19" s="4" t="str">
        <f>CONCATENATE("MOTOREDUTOR"," ",TabelaEquipamentos[[#This Row],[Fabricante]])</f>
        <v>MOTOREDUTOR WEG CESTARI</v>
      </c>
      <c r="D19" s="4" t="s">
        <v>110</v>
      </c>
      <c r="E19" s="4" t="s">
        <v>111</v>
      </c>
      <c r="F19" s="4">
        <v>180.35</v>
      </c>
      <c r="G19" s="4">
        <v>1750</v>
      </c>
      <c r="H19" s="4" t="s">
        <v>112</v>
      </c>
      <c r="I19" s="4" t="s">
        <v>37</v>
      </c>
      <c r="J19" s="4" t="s">
        <v>113</v>
      </c>
      <c r="K19" s="4" t="s">
        <v>124</v>
      </c>
      <c r="L19" s="4" t="s">
        <v>115</v>
      </c>
      <c r="M19" s="4" t="s">
        <v>116</v>
      </c>
      <c r="N19" s="4" t="s">
        <v>117</v>
      </c>
      <c r="O19" s="4"/>
      <c r="P19" s="4"/>
      <c r="Q19" s="2" t="s">
        <v>132</v>
      </c>
    </row>
    <row r="20" spans="1:17" ht="57">
      <c r="A20" s="3" t="s">
        <v>109</v>
      </c>
      <c r="B20" s="4" t="s">
        <v>36</v>
      </c>
      <c r="C20" s="4" t="str">
        <f>CONCATENATE("MOTOREDUTOR"," ",TabelaEquipamentos[[#This Row],[Fabricante]])</f>
        <v>MOTOREDUTOR WEG CESTARI</v>
      </c>
      <c r="D20" s="4" t="s">
        <v>110</v>
      </c>
      <c r="E20" s="4" t="s">
        <v>111</v>
      </c>
      <c r="F20" s="4">
        <v>180.35</v>
      </c>
      <c r="G20" s="4">
        <v>1750</v>
      </c>
      <c r="H20" s="4" t="s">
        <v>112</v>
      </c>
      <c r="I20" s="4" t="s">
        <v>37</v>
      </c>
      <c r="J20" s="4" t="s">
        <v>113</v>
      </c>
      <c r="K20" s="4" t="s">
        <v>125</v>
      </c>
      <c r="L20" s="4" t="s">
        <v>115</v>
      </c>
      <c r="M20" s="4" t="s">
        <v>116</v>
      </c>
      <c r="N20" s="4" t="s">
        <v>117</v>
      </c>
      <c r="O20" s="4"/>
      <c r="P20" s="4"/>
      <c r="Q20" s="2" t="s">
        <v>133</v>
      </c>
    </row>
  </sheetData>
  <phoneticPr fontId="3" type="noConversion"/>
  <conditionalFormatting sqref="B21:B1048576">
    <cfRule type="duplicateValues" dxfId="3" priority="8"/>
  </conditionalFormatting>
  <conditionalFormatting sqref="Q12:Q20">
    <cfRule type="duplicateValues" dxfId="2" priority="1"/>
  </conditionalFormatting>
  <conditionalFormatting sqref="R1">
    <cfRule type="duplicateValues" dxfId="1" priority="9"/>
  </conditionalFormatting>
  <conditionalFormatting sqref="R2:R11">
    <cfRule type="duplicateValues" dxfId="0" priority="2"/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5" t="s">
        <v>17</v>
      </c>
      <c r="B1" s="5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2026-05-19T18:52:00Z</cp:lastPrinted>
  <dcterms:created xsi:type="dcterms:W3CDTF">2026-06-09T19:30:54Z</dcterms:created>
  <dcterms:modified xsi:type="dcterms:W3CDTF">2026-06-20T14:53:35Z</dcterms:modified>
</cp:coreProperties>
</file>