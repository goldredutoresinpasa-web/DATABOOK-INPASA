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.santiago\Documents\MANUT REDUT INPASA 2026\teste python\DATABOOK_INPASA_EXCEL_GITHUB_COMPLETO\DATABOOK_INPASA_EXCEL_GITHUB\"/>
    </mc:Choice>
  </mc:AlternateContent>
  <xr:revisionPtr revIDLastSave="0" documentId="13_ncr:1_{3EC8EEB6-DDDA-4FE8-ADCA-A618562AB47E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Equipamentos" sheetId="1" r:id="rId1"/>
    <sheet name="Instrucoe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4" i="1" l="1"/>
  <c r="C65" i="1"/>
  <c r="C66" i="1"/>
  <c r="C67" i="1"/>
  <c r="C63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</calcChain>
</file>

<file path=xl/sharedStrings.xml><?xml version="1.0" encoding="utf-8"?>
<sst xmlns="http://schemas.openxmlformats.org/spreadsheetml/2006/main" count="995" uniqueCount="491">
  <si>
    <t>TAG</t>
  </si>
  <si>
    <t>Fabricante</t>
  </si>
  <si>
    <t>Tipo</t>
  </si>
  <si>
    <t>Modelo</t>
  </si>
  <si>
    <t>Potencia</t>
  </si>
  <si>
    <t>Relacao</t>
  </si>
  <si>
    <t>RPM</t>
  </si>
  <si>
    <t>Montagem</t>
  </si>
  <si>
    <t>Lubrificante</t>
  </si>
  <si>
    <t>Quantidade_Oleo</t>
  </si>
  <si>
    <t>Local</t>
  </si>
  <si>
    <t>Foto</t>
  </si>
  <si>
    <t>Lista_Pecas</t>
  </si>
  <si>
    <t>Manual</t>
  </si>
  <si>
    <t>Fotos_Adicionais</t>
  </si>
  <si>
    <t>Observacoes</t>
  </si>
  <si>
    <t>INSTRUÇÕES DE USO</t>
  </si>
  <si>
    <t>1</t>
  </si>
  <si>
    <t>Preencha os dados na aba Equipamentos.</t>
  </si>
  <si>
    <t>2</t>
  </si>
  <si>
    <t>Mantenha a coluna TAG sem repetir valores.</t>
  </si>
  <si>
    <t>3</t>
  </si>
  <si>
    <t>Coloque fotos na pasta assets/img/.</t>
  </si>
  <si>
    <t>4</t>
  </si>
  <si>
    <t>Coloque PDFs na pasta assets/pdf/.</t>
  </si>
  <si>
    <t>5</t>
  </si>
  <si>
    <t>Os caminhos no Excel devem começar com assets/img/ ou assets/pdf/.</t>
  </si>
  <si>
    <t>6</t>
  </si>
  <si>
    <t>Abra gerar_site.py e altere BASE_URL com o link real do GitHub Pages.</t>
  </si>
  <si>
    <t>7</t>
  </si>
  <si>
    <t>Rode no terminal: python gerar_site.py</t>
  </si>
  <si>
    <t>8</t>
  </si>
  <si>
    <t>Após gerar, envie tudo ao GitHub.</t>
  </si>
  <si>
    <t>EXEMPLO DE LINK FINAL</t>
  </si>
  <si>
    <t>https://SEU_USUARIO.github.io/NOME_REPOSITORIO/equipamentos/ME-631011/</t>
  </si>
  <si>
    <t>WEG CESTARI</t>
  </si>
  <si>
    <t>ISO VG 220</t>
  </si>
  <si>
    <t xml:space="preserve"> assets/pdf/manualvertimax.pdf</t>
  </si>
  <si>
    <t>RE-631501</t>
  </si>
  <si>
    <t>RE-631502</t>
  </si>
  <si>
    <t>RE-631503</t>
  </si>
  <si>
    <t>RE-631504</t>
  </si>
  <si>
    <t>RE-631508</t>
  </si>
  <si>
    <t>RE-631509</t>
  </si>
  <si>
    <t>RE-631512</t>
  </si>
  <si>
    <t>RE-631513</t>
  </si>
  <si>
    <t xml:space="preserve">WCG20 - V/F10 </t>
  </si>
  <si>
    <t>MOTOR 25 CV 3F 4 POLOS</t>
  </si>
  <si>
    <t>P3</t>
  </si>
  <si>
    <t>32,5 litros</t>
  </si>
  <si>
    <t>Correia Transportadora - CT- 01</t>
  </si>
  <si>
    <t>OS Nº 5863 - GOLD</t>
  </si>
  <si>
    <t>Correia Transportadora - CT- 02</t>
  </si>
  <si>
    <t>OS Nº 5874 - GOLD</t>
  </si>
  <si>
    <t>Correia Transportadora - CT- 03</t>
  </si>
  <si>
    <t>OS Nº 5880 - GOLD</t>
  </si>
  <si>
    <t>Correia Transportadora - CT- 04</t>
  </si>
  <si>
    <t>OS Nº 5882 - GOLD</t>
  </si>
  <si>
    <t xml:space="preserve">WCG20 - V/F12 </t>
  </si>
  <si>
    <t>MOTOR 50 CV 3F 4 POLOS</t>
  </si>
  <si>
    <t>42,5 Litros</t>
  </si>
  <si>
    <t>Correia Transportadora - CT-08</t>
  </si>
  <si>
    <t>OS Nº 5865 - GOLD</t>
  </si>
  <si>
    <t>Correia Transportadora - CT-09</t>
  </si>
  <si>
    <t>OS Nº 5870 - GOLD</t>
  </si>
  <si>
    <t>WCG20 F10 3</t>
  </si>
  <si>
    <t>MOTOR 40 CV 3F 4 POLOS</t>
  </si>
  <si>
    <t>Correia Transportadora - CT- 25</t>
  </si>
  <si>
    <t>OS Nº 5878 - GOLD</t>
  </si>
  <si>
    <t>WCG20 V/F12 3</t>
  </si>
  <si>
    <t xml:space="preserve">MOTOR 60 CV 3F 4 POLOS </t>
  </si>
  <si>
    <t>Correia Transportadora - CT- 23</t>
  </si>
  <si>
    <t>OS Nº 5861 - GOLD</t>
  </si>
  <si>
    <t>RE-631514</t>
  </si>
  <si>
    <t>MOTOR 60 CV 3F 4 POLOS</t>
  </si>
  <si>
    <t>Correia Transportadora - CT-21</t>
  </si>
  <si>
    <t>OS Nº 5867 - GOLD</t>
  </si>
  <si>
    <t>RE-631516</t>
  </si>
  <si>
    <t>Correia Transportadora - CT- 22</t>
  </si>
  <si>
    <t>OS Nº 5872 - GOLD</t>
  </si>
  <si>
    <t>assets/img/CT-01.jpg</t>
  </si>
  <si>
    <t xml:space="preserve"> assets/pdf/Desenho_tampa_KTR.pdf</t>
  </si>
  <si>
    <t>assets/img/CT-02.jpg</t>
  </si>
  <si>
    <t>assets/img/CT-03.jpg</t>
  </si>
  <si>
    <t>assets/img/CT-04.jpg</t>
  </si>
  <si>
    <t>assets/img/CT-25.jpg</t>
  </si>
  <si>
    <t>assets/img/CT-08.jpg</t>
  </si>
  <si>
    <t>assets/img/CT-09.jpg</t>
  </si>
  <si>
    <t>assets/img/vertimax.jpg</t>
  </si>
  <si>
    <t>RE-601011</t>
  </si>
  <si>
    <t>RE-601012</t>
  </si>
  <si>
    <t>RE-601013</t>
  </si>
  <si>
    <t>RE-601014</t>
  </si>
  <si>
    <t>RE-601015</t>
  </si>
  <si>
    <t>RE-601016</t>
  </si>
  <si>
    <t>RE-601017</t>
  </si>
  <si>
    <t>RE-601018</t>
  </si>
  <si>
    <t>RE-601019</t>
  </si>
  <si>
    <t xml:space="preserve"> C10 - 3</t>
  </si>
  <si>
    <t>MOTOR 5 CV 4 POLOS</t>
  </si>
  <si>
    <t>M1</t>
  </si>
  <si>
    <t>13,5 L</t>
  </si>
  <si>
    <t>DOSADOR DE CAVACO 1</t>
  </si>
  <si>
    <t>assets/img/redutorc10.png</t>
  </si>
  <si>
    <t xml:space="preserve"> assets/pdf/Desenho_C09C16_PT.pdf</t>
  </si>
  <si>
    <t xml:space="preserve"> assets/pdf/manualcoaxial.pdf</t>
  </si>
  <si>
    <t>DOSADOR DE CAVACO 2</t>
  </si>
  <si>
    <t>DOSADOR DE CAVACO 3</t>
  </si>
  <si>
    <t>DOSADOR DE CAVACO 4</t>
  </si>
  <si>
    <t>DOSADOR DE CAVACO 5</t>
  </si>
  <si>
    <t>DOSADOR DE CAVACO 6</t>
  </si>
  <si>
    <t>DOSADOR DE CAVACO 7</t>
  </si>
  <si>
    <t>DOSADOR DE CAVACO 8</t>
  </si>
  <si>
    <t>DOSADOR DE CAVACO 9</t>
  </si>
  <si>
    <t>OS Nº 5922 - GOLD</t>
  </si>
  <si>
    <t>OS Nº 5942 - GOLD</t>
  </si>
  <si>
    <t>OS Nº 5894 - GOLD</t>
  </si>
  <si>
    <t>OS Nº 5952 - GOLD</t>
  </si>
  <si>
    <t>OS Nº 5946 - GOLD</t>
  </si>
  <si>
    <t>OS Nº 5904 - GOLD</t>
  </si>
  <si>
    <t>OS Nº 5913 - GOLD</t>
  </si>
  <si>
    <t>OS Nº 5941 - GOLD</t>
  </si>
  <si>
    <t>OS Nº 5900 - GOLD</t>
  </si>
  <si>
    <t>TAG Nº</t>
  </si>
  <si>
    <t>PROMOEN</t>
  </si>
  <si>
    <t>SRRP - P2</t>
  </si>
  <si>
    <t>MOTOR 1,5 CV 4 POLOS</t>
  </si>
  <si>
    <t>S/I</t>
  </si>
  <si>
    <t>REDUTOR SOPRADOR DE FULIGEM RETRÁTIL SF-09 LE FEIXE</t>
  </si>
  <si>
    <t>OS Nº 5995 - GOLD</t>
  </si>
  <si>
    <t>REDUTOR SOPRADOR DE FULIGEM RETRÁTIL SF-01 LD - SUPER SEC</t>
  </si>
  <si>
    <t>OS Nº 5993 - GOLD</t>
  </si>
  <si>
    <t>REDUTOR SOPRADOR DE FULIGEM RETRÁTIL SF-01 LE - SUPER SEC</t>
  </si>
  <si>
    <t>OS Nº 5991 - GOLD</t>
  </si>
  <si>
    <t>REDUTOR SOPRADOR DE FULIGEM RETRÁTIL SF-08 LD FEIXE</t>
  </si>
  <si>
    <t>OS Nº 5989 - GOLD</t>
  </si>
  <si>
    <t>REDUTOR SOPRADOR DE FULIGEM RETRÁTIL SF-02 LD - SUPER SEC</t>
  </si>
  <si>
    <t>OS Nº 5987 - GOLD</t>
  </si>
  <si>
    <t>REDUTOR SOPRADOR DE FULIGEM RETRÁTIL SF-02 LE - SUPER SEC</t>
  </si>
  <si>
    <t>OS Nº 5985 - GOLD</t>
  </si>
  <si>
    <t>REDUTOR SOPRADOR DE FULIGEM RETRÁTIL SF-07 LE SCREEN</t>
  </si>
  <si>
    <t>OS Nº 5983 - GOLD</t>
  </si>
  <si>
    <t>REDUTOR SOPRADOR DE FULIGEM RETRÁTIL SF-08 LE FEIXE</t>
  </si>
  <si>
    <t>OS Nº 5981 - GOLD</t>
  </si>
  <si>
    <t>REDUTOR SOPRADOR DE FULIGEM RETRÁTIL SF-07 LD SCREEN</t>
  </si>
  <si>
    <t>OS Nº 5979 - GOLD</t>
  </si>
  <si>
    <t>REDUTOR SOPRADOR DE FULIGEM RETRÁTIL SF-06 LE SCREEN</t>
  </si>
  <si>
    <t>OS Nº 5977 - GOLD</t>
  </si>
  <si>
    <t>REDUTOR SOPRADOR DE FULIGEM RETRÁTIL SF-06 LD SCREEN</t>
  </si>
  <si>
    <t>OS Nº 5975 - GOLD</t>
  </si>
  <si>
    <t>REDUTOR SOPRADOR DE FULIGEM RETRÁTIL SF-09 LD FEIXE</t>
  </si>
  <si>
    <t>OS Nº 5973 - GOLD</t>
  </si>
  <si>
    <t>REDUTOR DE FULIGEM RETRÁTIL SF-04 LE - SUPER SEC / PRIM</t>
  </si>
  <si>
    <t>OS Nº 5971 - GOLD</t>
  </si>
  <si>
    <t>REDUTOR DE FULIGEM RETRÁTIL SF-05 LE - SUPER SEC / PRIM</t>
  </si>
  <si>
    <t>OS Nº 5969 - GOLD</t>
  </si>
  <si>
    <t>REDUTOR DE FULIGEM RETRÁTIL SF-05 LD - SUPER SEC / PRIM</t>
  </si>
  <si>
    <t>OS Nº 5967 - GOLD</t>
  </si>
  <si>
    <t>REDUTOR SOPRADOR DE FULIGEM RETRÁTIL SF-04 LD - SUPER SEC / PRIM</t>
  </si>
  <si>
    <t>OS Nº 5965 - GOLD</t>
  </si>
  <si>
    <t>assets/img/promen.jpg</t>
  </si>
  <si>
    <t>RE-601046</t>
  </si>
  <si>
    <t>RE-601029</t>
  </si>
  <si>
    <t>RE-601030</t>
  </si>
  <si>
    <t>RE-601043</t>
  </si>
  <si>
    <t>RE-601031</t>
  </si>
  <si>
    <t>RE-601032</t>
  </si>
  <si>
    <t>RE-601042</t>
  </si>
  <si>
    <t>RE-601044</t>
  </si>
  <si>
    <t>RE-601041</t>
  </si>
  <si>
    <t>RE-601040</t>
  </si>
  <si>
    <t>RE-601039</t>
  </si>
  <si>
    <t>RE-601045</t>
  </si>
  <si>
    <t>RE-601036</t>
  </si>
  <si>
    <t>RE-601038</t>
  </si>
  <si>
    <t>RE-601037</t>
  </si>
  <si>
    <t>RE-601035</t>
  </si>
  <si>
    <t>RE-631517</t>
  </si>
  <si>
    <t>MOTOREDUTOR</t>
  </si>
  <si>
    <t>V09</t>
  </si>
  <si>
    <t>OS Nº 5876 - GOLD</t>
  </si>
  <si>
    <t>REDUTOR DA TRANSP. DE CORREIA TCD/48"  (ME631517) - CT-26</t>
  </si>
  <si>
    <t>RE-601063</t>
  </si>
  <si>
    <t>V 07</t>
  </si>
  <si>
    <t>MOTOR 1.5 CV 4 POLOS</t>
  </si>
  <si>
    <t>REDUTOR VÁLVULA ROTATIVA 8 - CSC 4</t>
  </si>
  <si>
    <t>OS Nº 5920 - GOLD</t>
  </si>
  <si>
    <t>RE-601062</t>
  </si>
  <si>
    <t>RE-601067</t>
  </si>
  <si>
    <t>RE-601069</t>
  </si>
  <si>
    <t>REDUTOR VÁLVULA ROTATIVA 1 - FEIXE 1</t>
  </si>
  <si>
    <t>OS Nº 5903 - GOLD</t>
  </si>
  <si>
    <t>REDUTOR VÁLVULA ROTATIVA 6 - CSC 2</t>
  </si>
  <si>
    <t>OS Nº 5898 - GOLD</t>
  </si>
  <si>
    <t>OS Nº 5924 - GOLD</t>
  </si>
  <si>
    <t>RE- 601068</t>
  </si>
  <si>
    <t>REDUTOR VÁLVULA ROTATIVA 7 - CSC 3</t>
  </si>
  <si>
    <t>OS Nº 5936 - GOLD</t>
  </si>
  <si>
    <t xml:space="preserve"> assets/pdf/lista-pecas-V07 -ROTATIVAS.pdf</t>
  </si>
  <si>
    <t>ME - 601049</t>
  </si>
  <si>
    <t xml:space="preserve"> V58</t>
  </si>
  <si>
    <t>MOTOR 3 CV 4 POLOS</t>
  </si>
  <si>
    <t>REDUTOR ROSCA TRANSPORTADORA DE FULIGEM 3 - MULTICICLONE</t>
  </si>
  <si>
    <t>OS Nº 6056 - GOLD</t>
  </si>
  <si>
    <t>ME - 601050</t>
  </si>
  <si>
    <t>REDUTOR ROSCA TRANSPORTADORA DE FULIGEM 4 - MULTICICLONE</t>
  </si>
  <si>
    <t>OS Nº 6040 - GOLD</t>
  </si>
  <si>
    <t>ME - 601051</t>
  </si>
  <si>
    <t>V58</t>
  </si>
  <si>
    <t>REDUTOR ROSCA TRANSPORTADORA DE FULIGEM 5 - MULTICICLONE</t>
  </si>
  <si>
    <t>OS Nº 6025 - GOLD</t>
  </si>
  <si>
    <t>ME - 601052</t>
  </si>
  <si>
    <t>REDUTOR ROSCA TRANSPORTADORA DE FULIGEM 6 - MULTICICLONE</t>
  </si>
  <si>
    <t>OS Nº 6047 - GOLD</t>
  </si>
  <si>
    <t xml:space="preserve"> assets/pdf/REDUTOR V58.pdf</t>
  </si>
  <si>
    <t xml:space="preserve"> assets/pdf/LISTA PROMEM.pdf</t>
  </si>
  <si>
    <t>ME-601243</t>
  </si>
  <si>
    <t>SEW</t>
  </si>
  <si>
    <t>FA 77</t>
  </si>
  <si>
    <t xml:space="preserve">	REDUTOR DA ROSCA TRANSPORTADORAS 02</t>
  </si>
  <si>
    <t>OS Nº 5931 - GOLD</t>
  </si>
  <si>
    <t>ME-601244</t>
  </si>
  <si>
    <t>REDUTOR DA ROSCA TRANSPORTADORAS 03</t>
  </si>
  <si>
    <t>OS Nº 5929 - GOLD</t>
  </si>
  <si>
    <t>RE-601070</t>
  </si>
  <si>
    <t>MOTOR 5 CV 4 POLOS SEW</t>
  </si>
  <si>
    <t>REDUTOR VÁLVULA ROTATIVA 9 - CSC 5</t>
  </si>
  <si>
    <t>OS Nº 5938 - GOLD</t>
  </si>
  <si>
    <t>RE-601242</t>
  </si>
  <si>
    <t>OS Nº 5962 - GOLD</t>
  </si>
  <si>
    <t>MOTOR 20 CV 4 POLOS SEW</t>
  </si>
  <si>
    <t>REDUTOR DA ROSCA TRANSPORTADORAS CINZAS 01 ALIMENTAÇÃO</t>
  </si>
  <si>
    <t>OS Nº 6030 - GOLD</t>
  </si>
  <si>
    <t>assets/img/FA77.jpg</t>
  </si>
  <si>
    <t xml:space="preserve"> assets/pdf/LISTA PÇS FA77.pdf</t>
  </si>
  <si>
    <t xml:space="preserve"> assets/pdf/BOOK SEW.pdf</t>
  </si>
  <si>
    <t>ME-601252</t>
  </si>
  <si>
    <t>FA87</t>
  </si>
  <si>
    <t>MOTOR 4 CV - 4 POLOS</t>
  </si>
  <si>
    <t>REDUTOR DO MOTOR TRANSPORTADOR HELICOIDAL RETIRADA CINZAS PARA MOEGA CALDEIRA 2</t>
  </si>
  <si>
    <t xml:space="preserve"> assets/pdf/LISTA PÇS FA87.pdf</t>
  </si>
  <si>
    <t>OS Nº 5934 - GOLD</t>
  </si>
  <si>
    <t>RELATORIO FINAL</t>
  </si>
  <si>
    <t xml:space="preserve"> assets/pdf/RELATFINALOS5874.pdf</t>
  </si>
  <si>
    <t xml:space="preserve"> assets/pdf/OS5874.pdf</t>
  </si>
  <si>
    <t xml:space="preserve"> assets/pdf/RELATFINALOS5863.pdf</t>
  </si>
  <si>
    <t xml:space="preserve"> assets/pdf/OS5863.pdf</t>
  </si>
  <si>
    <t xml:space="preserve"> assets/pdf/RELATFINALOS5880.pdf</t>
  </si>
  <si>
    <t xml:space="preserve"> assets/pdf/OS5880.pdf</t>
  </si>
  <si>
    <t xml:space="preserve"> assets/pdf/RELATFINALOS5882.pdf</t>
  </si>
  <si>
    <t xml:space="preserve"> assets/pdf/OS5882.pdf</t>
  </si>
  <si>
    <t xml:space="preserve"> assets/pdf/RELATFINALOS5865.pdf</t>
  </si>
  <si>
    <t xml:space="preserve"> assets/pdf/OS5865.pdf</t>
  </si>
  <si>
    <t xml:space="preserve"> assets/pdf/RELATFINALOS5870.pdf</t>
  </si>
  <si>
    <t xml:space="preserve"> assets/pdf/OS5870.pdf</t>
  </si>
  <si>
    <t xml:space="preserve"> assets/pdf/RELATFINALOS5878.pdf</t>
  </si>
  <si>
    <t xml:space="preserve"> assets/pdf/OS5878.pdf</t>
  </si>
  <si>
    <t xml:space="preserve"> assets/pdf/RELATFINALOS5861.pdf</t>
  </si>
  <si>
    <t xml:space="preserve"> assets/pdf/OS5861.pdf</t>
  </si>
  <si>
    <t xml:space="preserve"> assets/pdf/RELATFINALOS5867.pdf</t>
  </si>
  <si>
    <t xml:space="preserve"> assets/pdf/OS5867.pdf</t>
  </si>
  <si>
    <t xml:space="preserve"> assets/pdf/RELATFINALOS5872.pdf</t>
  </si>
  <si>
    <t xml:space="preserve"> assets/pdf/OS5872.pdf</t>
  </si>
  <si>
    <t xml:space="preserve"> assets/pdf/RELATFINALOS5876.pdf</t>
  </si>
  <si>
    <t xml:space="preserve"> assets/pdf/OS5876.pdf</t>
  </si>
  <si>
    <t xml:space="preserve"> assets/pdf/RELATFINALOS5900.pdf</t>
  </si>
  <si>
    <t xml:space="preserve"> assets/pdf/OS5900.pdf</t>
  </si>
  <si>
    <t xml:space="preserve"> assets/pdf/RELATFINALOS5922.pdf</t>
  </si>
  <si>
    <t xml:space="preserve"> assets/pdf/OS5922.pdf</t>
  </si>
  <si>
    <t xml:space="preserve"> assets/pdf/RELATFINALOS5942.pdf</t>
  </si>
  <si>
    <t xml:space="preserve"> assets/pdf/OS5942.pdf</t>
  </si>
  <si>
    <t xml:space="preserve"> assets/pdf/RELATFINALOS5894.pdf</t>
  </si>
  <si>
    <t xml:space="preserve"> assets/pdf/OS5894.pdf</t>
  </si>
  <si>
    <t xml:space="preserve"> assets/pdf/RELATFINALOS5852.pdf</t>
  </si>
  <si>
    <t xml:space="preserve"> assets/pdf/OS5852.pdf</t>
  </si>
  <si>
    <t xml:space="preserve"> assets/pdf/RELATFINALOS5946.pdf</t>
  </si>
  <si>
    <t xml:space="preserve"> assets/pdf/OS5946.pdf</t>
  </si>
  <si>
    <t xml:space="preserve"> assets/pdf/RELATFINALOS5904.pdf</t>
  </si>
  <si>
    <t xml:space="preserve"> assets/pdf/OS5904.pdf</t>
  </si>
  <si>
    <t xml:space="preserve"> assets/pdf/RELATFINALOS5913.pdf</t>
  </si>
  <si>
    <t xml:space="preserve"> assets/pdf/OS5913.pdf</t>
  </si>
  <si>
    <t xml:space="preserve"> assets/pdf/RELATFINALOS5941.pdf</t>
  </si>
  <si>
    <t xml:space="preserve"> assets/pdf/OS5941.pdf</t>
  </si>
  <si>
    <t xml:space="preserve"> assets/pdf/RELATFINALOS5993.pdf</t>
  </si>
  <si>
    <t xml:space="preserve"> assets/pdf/OS5993.pdf</t>
  </si>
  <si>
    <t xml:space="preserve"> assets/pdf/RELATFINALOS5995.pdf</t>
  </si>
  <si>
    <t xml:space="preserve"> assets/pdf/OS5995.pdf</t>
  </si>
  <si>
    <t xml:space="preserve"> assets/pdf/RELATFINALOS5991.pdf</t>
  </si>
  <si>
    <t xml:space="preserve"> assets/pdf/OS5991.pdf</t>
  </si>
  <si>
    <t xml:space="preserve"> assets/pdf/RELATFINALOS5989.pdf</t>
  </si>
  <si>
    <t xml:space="preserve"> assets/pdf/OS5989.pdf</t>
  </si>
  <si>
    <t xml:space="preserve"> assets/pdf/RELATFINALOS5987.pdf</t>
  </si>
  <si>
    <t xml:space="preserve"> assets/pdf/OS5987.pdf</t>
  </si>
  <si>
    <t xml:space="preserve"> assets/pdf/RELATFINALOS5985.pdf</t>
  </si>
  <si>
    <t xml:space="preserve"> assets/pdf/OS5985.pdf</t>
  </si>
  <si>
    <t xml:space="preserve"> assets/pdf/RELATFINALOS5983.pdf</t>
  </si>
  <si>
    <t xml:space="preserve"> assets/pdf/OS5983.pdf</t>
  </si>
  <si>
    <t xml:space="preserve"> assets/pdf/RELATFINALOS5981.pdf</t>
  </si>
  <si>
    <t xml:space="preserve"> assets/pdf/OS5981.pdf</t>
  </si>
  <si>
    <t xml:space="preserve"> assets/pdf/RELATFINALOS5979.pdf</t>
  </si>
  <si>
    <t xml:space="preserve"> assets/pdf/OS5979.pdf</t>
  </si>
  <si>
    <t xml:space="preserve"> assets/pdf/RELATFINALOS5977.pdf</t>
  </si>
  <si>
    <t xml:space="preserve"> assets/pdf/OS5977.pdf</t>
  </si>
  <si>
    <t xml:space="preserve"> assets/pdf/RELATFINALOS5975.pdf</t>
  </si>
  <si>
    <t xml:space="preserve"> assets/pdf/OS5975.pdf</t>
  </si>
  <si>
    <t xml:space="preserve"> assets/pdf/RELATFINALOS5973.pdf</t>
  </si>
  <si>
    <t xml:space="preserve"> assets/pdf/OS5973.pdf</t>
  </si>
  <si>
    <t xml:space="preserve"> assets/pdf/RELATFINALOS5971.pdf</t>
  </si>
  <si>
    <t xml:space="preserve"> assets/pdf/OS5971.pdf</t>
  </si>
  <si>
    <t xml:space="preserve"> assets/pdf/RELATFINALOS5969.pdf</t>
  </si>
  <si>
    <t xml:space="preserve"> assets/pdf/OS5969.pdf</t>
  </si>
  <si>
    <t xml:space="preserve"> assets/pdf/RELATFINALOS5967.pdf</t>
  </si>
  <si>
    <t xml:space="preserve"> assets/pdf/OS5967.pdf</t>
  </si>
  <si>
    <t xml:space="preserve"> assets/pdf/RELATFINALOS5965.pdf</t>
  </si>
  <si>
    <t xml:space="preserve"> assets/pdf/OS5965.pdf</t>
  </si>
  <si>
    <t xml:space="preserve"> assets/pdf/RELATFINALOS6056.pdf</t>
  </si>
  <si>
    <t xml:space="preserve"> assets/pdf/OS6056.pdf</t>
  </si>
  <si>
    <t xml:space="preserve"> assets/pdf/RELATFINALOS6040.pdf</t>
  </si>
  <si>
    <t xml:space="preserve"> assets/pdf/OS6040.pdf</t>
  </si>
  <si>
    <t xml:space="preserve"> assets/pdf/RELATFINALOS6025.pdf</t>
  </si>
  <si>
    <t xml:space="preserve"> assets/pdf/OS6025.pdf</t>
  </si>
  <si>
    <t xml:space="preserve"> assets/pdf/RELATFINALOS6047.pdf</t>
  </si>
  <si>
    <t xml:space="preserve"> assets/pdf/OS6047.pdf</t>
  </si>
  <si>
    <t xml:space="preserve"> assets/pdf/RELATFINALOS5920.pdf</t>
  </si>
  <si>
    <t xml:space="preserve"> assets/pdf/LOS5920.pdf</t>
  </si>
  <si>
    <t xml:space="preserve"> assets/pdf/RELATFINALOS5903.pdf</t>
  </si>
  <si>
    <t xml:space="preserve"> assets/pdf/LOS5903.pdf</t>
  </si>
  <si>
    <t xml:space="preserve"> assets/pdf/RELATFINALOS5898.pdf</t>
  </si>
  <si>
    <t xml:space="preserve"> assets/pdf/LOS5898.pdf</t>
  </si>
  <si>
    <t xml:space="preserve"> assets/pdf/RELATFINALOS5924.pdf</t>
  </si>
  <si>
    <t xml:space="preserve"> assets/pdf/LOS5924.pdf</t>
  </si>
  <si>
    <t xml:space="preserve"> assets/pdf/RELATFINALOS5936.pdf</t>
  </si>
  <si>
    <t xml:space="preserve"> assets/pdf/LOS5936.pdf</t>
  </si>
  <si>
    <t>RE-631506</t>
  </si>
  <si>
    <t>BREVINI</t>
  </si>
  <si>
    <t>REDUTOR PLANETARIO</t>
  </si>
  <si>
    <t>MOTOR 75 CV 4 POLOS</t>
  </si>
  <si>
    <t>REDUTOR TRANSPORTADORA REDLER TARD/2000 - (TRR631506)</t>
  </si>
  <si>
    <t>assets/img/BREVINI.jpg</t>
  </si>
  <si>
    <t xml:space="preserve"> assets/pdf/LISTABREVINI.pdf</t>
  </si>
  <si>
    <t>OS Nº 5964 - GOLD</t>
  </si>
  <si>
    <t>JÁ ENVIADA</t>
  </si>
  <si>
    <t xml:space="preserve"> assets/pdf/MANUALBREVINI.pdf</t>
  </si>
  <si>
    <t xml:space="preserve"> assets/pdf/OS5964.pdf</t>
  </si>
  <si>
    <t xml:space="preserve"> assets/pdf/RELATFINALOS5964.pdf</t>
  </si>
  <si>
    <t>BREVINI - SC 12004</t>
  </si>
  <si>
    <t>RE-601129</t>
  </si>
  <si>
    <t>V 06</t>
  </si>
  <si>
    <t>MOTOR 1 CV 4 POLOS</t>
  </si>
  <si>
    <t>REDUTOR DO MOTOR DA VALVULA ROTATIVA 13 - MULTICICLONE</t>
  </si>
  <si>
    <t>OS Nº 6049 - GOLD</t>
  </si>
  <si>
    <t>ME - 601073</t>
  </si>
  <si>
    <t>V56</t>
  </si>
  <si>
    <t xml:space="preserve"> assets/pdf/lista-pecas-ME-601073.pdf</t>
  </si>
  <si>
    <t>OS Nº 6034 - GOLD</t>
  </si>
  <si>
    <t>REDUTOR VÁLVULA ROTATIVA 12 - PRÉ/ECO 2</t>
  </si>
  <si>
    <t xml:space="preserve"> assets/pdf/RELATFINALOS6034.pdf</t>
  </si>
  <si>
    <t xml:space="preserve"> assets/pdf/OS6034.pdf</t>
  </si>
  <si>
    <t xml:space="preserve"> assets/pdf/RELATFINALOS6049.pdf</t>
  </si>
  <si>
    <t xml:space="preserve"> assets/pdf/OS6049.pdf</t>
  </si>
  <si>
    <t xml:space="preserve"> assets/pdf/PEÇAS V6.pdf</t>
  </si>
  <si>
    <t>RE- 601047</t>
  </si>
  <si>
    <t>REDUTOR DUPLO</t>
  </si>
  <si>
    <t>MOTOR 0,5 CV  - 04 POLOS</t>
  </si>
  <si>
    <t>REDUTOR PLANETARIO ESPARGIDOR</t>
  </si>
  <si>
    <t>REDUTOR PRINCIPAL - OS Nº 6028 - GOLD</t>
  </si>
  <si>
    <t xml:space="preserve"> assets/pdf/LISTAPECASESPARGIDOR.pdf</t>
  </si>
  <si>
    <t>assets/img/ESPARGIDOR.jpg</t>
  </si>
  <si>
    <t xml:space="preserve"> assets/pdf/RELATFINALOS6028.pdf</t>
  </si>
  <si>
    <t xml:space="preserve"> assets/pdf/OS6028.pdf</t>
  </si>
  <si>
    <t>S/TAG</t>
  </si>
  <si>
    <t>RE-631105</t>
  </si>
  <si>
    <t>MOTOR 10 CV -  4 POLOS</t>
  </si>
  <si>
    <t>REDUTOR ROSCA TRANSPORTADORA 01 (RT-01)</t>
  </si>
  <si>
    <t>OS Nº 5927 - GOLD</t>
  </si>
  <si>
    <t>RE-631107</t>
  </si>
  <si>
    <t>REDUTOR ROSCA TRANSPORTADORA 02 (RT-02)</t>
  </si>
  <si>
    <t>OS Nº 5954 - GOLD</t>
  </si>
  <si>
    <t xml:space="preserve"> assets/pdf/RELATFINALOS5927.pdf</t>
  </si>
  <si>
    <t xml:space="preserve"> assets/pdf/OS5927.pdf</t>
  </si>
  <si>
    <t xml:space="preserve"> assets/pdf/RELATFINALOS5954.pdf</t>
  </si>
  <si>
    <t xml:space="preserve"> assets/pdf/OS5954.pdf</t>
  </si>
  <si>
    <t xml:space="preserve"> assets/pdf/RELATFINALOS5934.pdf</t>
  </si>
  <si>
    <t xml:space="preserve"> assets/pdf/OS5934.pdf</t>
  </si>
  <si>
    <t xml:space="preserve"> assets/pdf/RELATFINALOS5931.pdf</t>
  </si>
  <si>
    <t xml:space="preserve"> assets/pdf/OS5931.pdf</t>
  </si>
  <si>
    <t xml:space="preserve"> assets/pdf/RELATFINALOS5929.pdf</t>
  </si>
  <si>
    <t xml:space="preserve"> assets/pdf/OS5929.pdf</t>
  </si>
  <si>
    <t xml:space="preserve"> assets/pdf/RELATFINALOS5938.pdf</t>
  </si>
  <si>
    <t xml:space="preserve"> assets/pdf/OS5938.pdf</t>
  </si>
  <si>
    <t xml:space="preserve"> assets/pdf/RELATFINALOS5962.pdf</t>
  </si>
  <si>
    <t xml:space="preserve"> assets/pdf/OS5962.pdf</t>
  </si>
  <si>
    <t xml:space="preserve"> assets/pdf/RELATFINALOS6030.pdf</t>
  </si>
  <si>
    <t xml:space="preserve"> assets/pdf/OS6030.pdf</t>
  </si>
  <si>
    <t>RE-631515</t>
  </si>
  <si>
    <t>KH87/T</t>
  </si>
  <si>
    <t>MOTOR 12,5 CV 4 POLOS</t>
  </si>
  <si>
    <t>REDUTOR DA PENEIRA CLAS. DE DISCOS PCDD/32 02</t>
  </si>
  <si>
    <t>OS Nº 5957 - GOLD</t>
  </si>
  <si>
    <t>REDUTOR PENEIRA CLAS. DE DISCOS PCDD/32 01 (ME631514)</t>
  </si>
  <si>
    <t>OS Nº 5960 - GOLD</t>
  </si>
  <si>
    <t>assets/img/REDUTORKH.jpg</t>
  </si>
  <si>
    <t xml:space="preserve"> assets/pdf/KH87.pdf</t>
  </si>
  <si>
    <t xml:space="preserve"> assets/pdf/RELATFINALOS5957.pdf</t>
  </si>
  <si>
    <t xml:space="preserve"> assets/pdf/OS5957.pdf</t>
  </si>
  <si>
    <t xml:space="preserve"> assets/pdf/RELATFINALOS5960.pdf</t>
  </si>
  <si>
    <t xml:space="preserve"> assets/pdf/OS5960.pdf</t>
  </si>
  <si>
    <t>RE -601245</t>
  </si>
  <si>
    <t>PLANETARIO PPK2PH017/T - KAF77</t>
  </si>
  <si>
    <t>MOTOR 6 CV - 04 POLOS SEW</t>
  </si>
  <si>
    <t>REDUTOR PLANETARIO MOTOR TRANSP. CORRENTE RETIRADA CINZAS C601014</t>
  </si>
  <si>
    <t>OS Nº 6013 - GOLD</t>
  </si>
  <si>
    <t>RE-601248</t>
  </si>
  <si>
    <t>MOTOR 5 CV - 04 POLOS SEW</t>
  </si>
  <si>
    <t>03 / 10</t>
  </si>
  <si>
    <t>REDUTOR PLANETARIO DO MOTOR TRANSPORTADOR DE CINZAS PARA O ELEVADOR C-601015</t>
  </si>
  <si>
    <t>OS Nº 6054 - GOLD</t>
  </si>
  <si>
    <t>ISO VG 220/680</t>
  </si>
  <si>
    <t>assets/img/PLANETARIOPEQ.jpg</t>
  </si>
  <si>
    <t xml:space="preserve"> assets/pdf/LISTAPECASKF77.pdf</t>
  </si>
  <si>
    <t xml:space="preserve"> assets/pdf/RELATFINALOS6054.pdf</t>
  </si>
  <si>
    <t xml:space="preserve"> assets/pdf/OS6054.pdf</t>
  </si>
  <si>
    <t>C06</t>
  </si>
  <si>
    <t>ME-631105</t>
  </si>
  <si>
    <t>MOTOR 2 CV 4 POLOS</t>
  </si>
  <si>
    <t>ISSO 220</t>
  </si>
  <si>
    <t>0,5 L</t>
  </si>
  <si>
    <t>OS Nº 6109 - GOLD</t>
  </si>
  <si>
    <t xml:space="preserve"> assets/pdf/RELATFINALOS6109.pdf</t>
  </si>
  <si>
    <t xml:space="preserve"> assets/pdf/OS6109.pdf</t>
  </si>
  <si>
    <t xml:space="preserve"> assets/pdf/LISTA DE PEÇAS - WCG20 C06.pdf</t>
  </si>
  <si>
    <t>ME-631106</t>
  </si>
  <si>
    <t>ME-631107</t>
  </si>
  <si>
    <t>ME-631110</t>
  </si>
  <si>
    <t>ME-631103</t>
  </si>
  <si>
    <t>C05</t>
  </si>
  <si>
    <t xml:space="preserve"> assets/pdf/LISTA DE PEÇAS - WCG20 C05.pdf</t>
  </si>
  <si>
    <t>OS Nº 6110 - GOLD</t>
  </si>
  <si>
    <t xml:space="preserve"> assets/pdf/RELATFINALOS6110.pdf</t>
  </si>
  <si>
    <t xml:space="preserve"> assets/pdf/OS6110.pdf</t>
  </si>
  <si>
    <t xml:space="preserve"> assets/pdf/RELATFINALOS6116.pdf</t>
  </si>
  <si>
    <t xml:space="preserve"> assets/pdf/OS6116.pdf</t>
  </si>
  <si>
    <t>OS Nº 6116 - GOLD</t>
  </si>
  <si>
    <t xml:space="preserve"> assets/pdf/RELATFINALOS6107.pdf</t>
  </si>
  <si>
    <t xml:space="preserve"> assets/pdf/OS6107.pdf</t>
  </si>
  <si>
    <t>OS Nº 6107 - GOLD</t>
  </si>
  <si>
    <t xml:space="preserve"> assets/pdf/RELATFINALOS6105.pdf</t>
  </si>
  <si>
    <t xml:space="preserve"> assets/pdf/OS6105.pdf</t>
  </si>
  <si>
    <t>OS Nº 6105 - GOLD</t>
  </si>
  <si>
    <t>REDUTOR VÁLVULA ROTATIVA 02 (VR-02)</t>
  </si>
  <si>
    <t>REDUTOR VÁLVULA ROTATIVA (VR-01)</t>
  </si>
  <si>
    <t>REDUTOR ROSCA DE EXTRAÇÃO DO FILTRO (RT-03)</t>
  </si>
  <si>
    <t>assets/img/C06.jpg</t>
  </si>
  <si>
    <t>ME- 601078</t>
  </si>
  <si>
    <t>PLANETARIO PHF022T / KF87</t>
  </si>
  <si>
    <t>MOTOR 25 CV -  4 POLOS</t>
  </si>
  <si>
    <t>REDUTOR PLANETARIO ESTEIRA TRANSPORTADORA DE CINZAS 03</t>
  </si>
  <si>
    <t>assets/img/SEWPHF022T.jpg</t>
  </si>
  <si>
    <t xml:space="preserve"> assets/pdf/PLANETARIO PHF022_KF87.pdf</t>
  </si>
  <si>
    <t xml:space="preserve"> assets/pdf/PHF022T_PT.pdf</t>
  </si>
  <si>
    <t xml:space="preserve"> assets/pdf/RELATFINALOS6011.pdf</t>
  </si>
  <si>
    <t xml:space="preserve"> assets/pdf/OS6011.pdf</t>
  </si>
  <si>
    <t>OS Nº 6011 - GOLD</t>
  </si>
  <si>
    <t>ME- 601079</t>
  </si>
  <si>
    <t>REDUTOR PLANETARIO ESTEIRA TRANSPORTADORA DE CINZAS 04</t>
  </si>
  <si>
    <t xml:space="preserve"> assets/pdf/RELATFINALOS6016.pdf</t>
  </si>
  <si>
    <t xml:space="preserve"> assets/pdf/OS6016.pdf</t>
  </si>
  <si>
    <t>OS Nº 6016 - GOLD</t>
  </si>
  <si>
    <t>ME- 601080</t>
  </si>
  <si>
    <t>REDUTOR PLANETARIO ESTEIRA TRANSPORTADORA DE CINZAS 05</t>
  </si>
  <si>
    <t xml:space="preserve"> assets/pdf/RELATFINALOS6021.pdf</t>
  </si>
  <si>
    <t xml:space="preserve"> assets/pdf/OS6021.pdf</t>
  </si>
  <si>
    <t>OS Nº 6021 - GOLD</t>
  </si>
  <si>
    <t>ISO VG 220 / ISSO 680</t>
  </si>
  <si>
    <t>ME- 601241</t>
  </si>
  <si>
    <t>MOTOR 15 CV -  4 POLOS</t>
  </si>
  <si>
    <t>REDUTOR PLANETARIO MOTOR TRANSPORTADOR CORRENTE ALIMENTAÇÃO C601013</t>
  </si>
  <si>
    <t>REDUTOR PLANETARIO DO MOTROR TRANSPORTADOR DE CORRENTE ALIMENTAÇÃO - C-601012</t>
  </si>
  <si>
    <t>PLANETARIO PHF012T / KF87</t>
  </si>
  <si>
    <t>ME - 601240</t>
  </si>
  <si>
    <t>OS Nº 6020 - GOLD</t>
  </si>
  <si>
    <t>OS Nº 6023 - GOLD</t>
  </si>
  <si>
    <t xml:space="preserve"> assets/pdf/LP PFH012 SEW.pdf</t>
  </si>
  <si>
    <t xml:space="preserve"> assets/pdf/MANUALPHF012_T.pdf</t>
  </si>
  <si>
    <t xml:space="preserve"> assets/pdf/RELATFINALOS6020.pdf</t>
  </si>
  <si>
    <t xml:space="preserve"> assets/pdf/OS6020.pdf</t>
  </si>
  <si>
    <t xml:space="preserve"> assets/pdf/RELATFINALOS6023.pdf</t>
  </si>
  <si>
    <t xml:space="preserve"> assets/pdf/OS6023.pdf</t>
  </si>
  <si>
    <t xml:space="preserve"> assets/pdf/V12 - _KIT_FLANGE_CAR200M L_FF350.pdf</t>
  </si>
  <si>
    <t xml:space="preserve"> assets/pdf/V12_KTRCAR225_SM_FF40.pdf</t>
  </si>
  <si>
    <t>RE-CT21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</si>
</sst>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4AF37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quipamentos" displayName="TabelaEquipamentos" ref="A1:R72" headerRowDxfId="23" dataDxfId="22" totalsRowDxfId="21">
  <autoFilter ref="A1:R72" xr:uid="{00000000-000C-0000-FFFF-FFFF00000000}">
    <filterColumn colId="10">
      <filters>
        <filter val="Correia Transportadora - CT- 23"/>
        <filter val="Correia Transportadora - CT-21"/>
      </filters>
    </filterColumn>
  </autoFilter>
  <tableColumns count="18">
    <tableColumn id="1" xr3:uid="{00000000-0010-0000-0000-000001000000}" name="TAG" dataDxfId="20"/>
    <tableColumn id="19" xr3:uid="{726DCCAF-1417-462D-BD10-A9FED761ADBD}" name="Fabricante" dataDxfId="19"/>
    <tableColumn id="2" xr3:uid="{00000000-0010-0000-0000-000002000000}" name="Tipo" dataDxfId="18">
      <calculatedColumnFormula>CONCATENATE("MOTOREDUTOR"," ",TabelaEquipamentos[[#This Row],[Fabricante]])</calculatedColumnFormula>
    </tableColumn>
    <tableColumn id="3" xr3:uid="{00000000-0010-0000-0000-000003000000}" name="Modelo" dataDxfId="17"/>
    <tableColumn id="4" xr3:uid="{00000000-0010-0000-0000-000004000000}" name="Potencia" dataDxfId="16"/>
    <tableColumn id="5" xr3:uid="{00000000-0010-0000-0000-000005000000}" name="Relacao" dataDxfId="15"/>
    <tableColumn id="6" xr3:uid="{00000000-0010-0000-0000-000006000000}" name="RPM" dataDxfId="14"/>
    <tableColumn id="7" xr3:uid="{00000000-0010-0000-0000-000007000000}" name="Montagem" dataDxfId="13"/>
    <tableColumn id="8" xr3:uid="{00000000-0010-0000-0000-000008000000}" name="Lubrificante" dataDxfId="12"/>
    <tableColumn id="9" xr3:uid="{00000000-0010-0000-0000-000009000000}" name="Quantidade_Oleo" dataDxfId="11"/>
    <tableColumn id="10" xr3:uid="{00000000-0010-0000-0000-00000A000000}" name="Local" dataDxfId="10"/>
    <tableColumn id="11" xr3:uid="{00000000-0010-0000-0000-00000B000000}" name="Foto" dataDxfId="9"/>
    <tableColumn id="12" xr3:uid="{00000000-0010-0000-0000-00000C000000}" name="Lista_Pecas" dataDxfId="8"/>
    <tableColumn id="13" xr3:uid="{00000000-0010-0000-0000-00000D000000}" name="Manual" dataDxfId="7"/>
    <tableColumn id="14" xr3:uid="{00000000-0010-0000-0000-00000E000000}" name="RELATORIO FINAL" dataDxfId="6"/>
    <tableColumn id="15" xr3:uid="{00000000-0010-0000-0000-00000F000000}" name="Fotos_Adicionais" dataDxfId="5"/>
    <tableColumn id="16" xr3:uid="{00000000-0010-0000-0000-000010000000}" name="Observacoes" dataDxfId="4"/>
    <tableColumn id="17" xr3:uid="{00000000-0010-0000-0000-000011000000}" name="TAG Nº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2"/>
  <sheetViews>
    <sheetView tabSelected="1" zoomScale="85" zoomScaleNormal="85" workbookViewId="0">
      <pane xSplit="6" ySplit="1" topLeftCell="J9" activePane="bottomRight" state="frozen"/>
      <selection pane="topRight" activeCell="F1" sqref="F1"/>
      <selection pane="bottomLeft" activeCell="A2" sqref="A2"/>
      <selection pane="bottomRight" activeCell="E76" sqref="E76"/>
    </sheetView>
  </sheetViews>
  <sheetFormatPr defaultRowHeight="14.25"/>
  <cols>
    <col min="1" max="1" width="14.875" style="2" customWidth="1"/>
    <col min="2" max="2" width="13.75" style="2" customWidth="1"/>
    <col min="3" max="3" width="16.75" style="2" customWidth="1"/>
    <col min="4" max="4" width="17.125" style="2" customWidth="1"/>
    <col min="5" max="5" width="16.625" style="2" customWidth="1"/>
    <col min="6" max="6" width="14" style="2" customWidth="1"/>
    <col min="7" max="7" width="12.125" style="2" customWidth="1"/>
    <col min="8" max="8" width="8.25" style="2" customWidth="1"/>
    <col min="9" max="9" width="12.625" style="2" customWidth="1"/>
    <col min="10" max="10" width="13.5" style="2" customWidth="1"/>
    <col min="11" max="11" width="15.75" style="2" customWidth="1"/>
    <col min="12" max="12" width="9.25" style="2" bestFit="1" customWidth="1"/>
    <col min="13" max="13" width="16.125" style="2" bestFit="1" customWidth="1"/>
    <col min="14" max="14" width="11.75" style="2" bestFit="1" customWidth="1"/>
    <col min="15" max="15" width="18" style="2" customWidth="1"/>
    <col min="16" max="16" width="10.625" style="2" customWidth="1"/>
    <col min="17" max="17" width="20.125" style="2" bestFit="1" customWidth="1"/>
    <col min="18" max="18" width="32" style="2" customWidth="1"/>
    <col min="19" max="16384" width="9" style="2"/>
  </cols>
  <sheetData>
    <row r="1" spans="1:1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242</v>
      </c>
      <c r="P1" s="1" t="s">
        <v>14</v>
      </c>
      <c r="Q1" s="1" t="s">
        <v>15</v>
      </c>
      <c r="R1" s="2" t="s">
        <v>123</v>
      </c>
    </row>
    <row r="2" spans="1:18" ht="57" hidden="1">
      <c r="A2" s="3" t="s">
        <v>38</v>
      </c>
      <c r="B2" s="3" t="s">
        <v>35</v>
      </c>
      <c r="C2" s="3" t="str">
        <f>CONCATENATE("MOTOREDUTOR"," ",TabelaEquipamentos[[#This Row],[Fabricante]])</f>
        <v>MOTOREDUTOR WEG CESTARI</v>
      </c>
      <c r="D2" s="3" t="s">
        <v>46</v>
      </c>
      <c r="E2" s="3" t="s">
        <v>47</v>
      </c>
      <c r="F2" s="3">
        <v>41.4</v>
      </c>
      <c r="G2" s="3">
        <v>1750</v>
      </c>
      <c r="H2" s="3" t="s">
        <v>48</v>
      </c>
      <c r="I2" s="3" t="s">
        <v>36</v>
      </c>
      <c r="J2" s="3" t="s">
        <v>49</v>
      </c>
      <c r="K2" s="3" t="s">
        <v>50</v>
      </c>
      <c r="L2" s="3" t="s">
        <v>80</v>
      </c>
      <c r="M2" s="3" t="s">
        <v>81</v>
      </c>
      <c r="N2" s="3" t="s">
        <v>37</v>
      </c>
      <c r="O2" s="3" t="s">
        <v>245</v>
      </c>
      <c r="P2" s="3" t="s">
        <v>246</v>
      </c>
      <c r="Q2" s="3" t="s">
        <v>51</v>
      </c>
    </row>
    <row r="3" spans="1:18" ht="57" hidden="1">
      <c r="A3" s="3" t="s">
        <v>39</v>
      </c>
      <c r="B3" s="3" t="s">
        <v>35</v>
      </c>
      <c r="C3" s="3" t="str">
        <f>CONCATENATE("MOTOREDUTOR"," ",TabelaEquipamentos[[#This Row],[Fabricante]])</f>
        <v>MOTOREDUTOR WEG CESTARI</v>
      </c>
      <c r="D3" s="3" t="s">
        <v>46</v>
      </c>
      <c r="E3" s="3" t="s">
        <v>47</v>
      </c>
      <c r="F3" s="3">
        <v>41.4</v>
      </c>
      <c r="G3" s="3">
        <v>1750</v>
      </c>
      <c r="H3" s="3" t="s">
        <v>48</v>
      </c>
      <c r="I3" s="3" t="s">
        <v>36</v>
      </c>
      <c r="J3" s="3" t="s">
        <v>49</v>
      </c>
      <c r="K3" s="3" t="s">
        <v>52</v>
      </c>
      <c r="L3" s="3" t="s">
        <v>82</v>
      </c>
      <c r="M3" s="3" t="s">
        <v>81</v>
      </c>
      <c r="N3" s="3" t="s">
        <v>37</v>
      </c>
      <c r="O3" s="3" t="s">
        <v>243</v>
      </c>
      <c r="P3" s="3" t="s">
        <v>244</v>
      </c>
      <c r="Q3" s="3" t="s">
        <v>53</v>
      </c>
    </row>
    <row r="4" spans="1:18" ht="57" hidden="1">
      <c r="A4" s="3" t="s">
        <v>40</v>
      </c>
      <c r="B4" s="3" t="s">
        <v>35</v>
      </c>
      <c r="C4" s="3" t="str">
        <f>CONCATENATE("MOTOREDUTOR"," ",TabelaEquipamentos[[#This Row],[Fabricante]])</f>
        <v>MOTOREDUTOR WEG CESTARI</v>
      </c>
      <c r="D4" s="3" t="s">
        <v>46</v>
      </c>
      <c r="E4" s="3" t="s">
        <v>47</v>
      </c>
      <c r="F4" s="3">
        <v>41.4</v>
      </c>
      <c r="G4" s="3">
        <v>1750</v>
      </c>
      <c r="H4" s="3" t="s">
        <v>48</v>
      </c>
      <c r="I4" s="3" t="s">
        <v>36</v>
      </c>
      <c r="J4" s="3" t="s">
        <v>49</v>
      </c>
      <c r="K4" s="3" t="s">
        <v>54</v>
      </c>
      <c r="L4" s="3" t="s">
        <v>83</v>
      </c>
      <c r="M4" s="3" t="s">
        <v>81</v>
      </c>
      <c r="N4" s="3" t="s">
        <v>37</v>
      </c>
      <c r="O4" s="3" t="s">
        <v>247</v>
      </c>
      <c r="P4" s="3" t="s">
        <v>248</v>
      </c>
      <c r="Q4" s="3" t="s">
        <v>55</v>
      </c>
    </row>
    <row r="5" spans="1:18" ht="57" hidden="1">
      <c r="A5" s="3" t="s">
        <v>41</v>
      </c>
      <c r="B5" s="3" t="s">
        <v>35</v>
      </c>
      <c r="C5" s="3" t="str">
        <f>CONCATENATE("MOTOREDUTOR"," ",TabelaEquipamentos[[#This Row],[Fabricante]])</f>
        <v>MOTOREDUTOR WEG CESTARI</v>
      </c>
      <c r="D5" s="3" t="s">
        <v>46</v>
      </c>
      <c r="E5" s="3" t="s">
        <v>47</v>
      </c>
      <c r="F5" s="3">
        <v>41.4</v>
      </c>
      <c r="G5" s="3">
        <v>1750</v>
      </c>
      <c r="H5" s="3" t="s">
        <v>48</v>
      </c>
      <c r="I5" s="3" t="s">
        <v>36</v>
      </c>
      <c r="J5" s="3" t="s">
        <v>49</v>
      </c>
      <c r="K5" s="3" t="s">
        <v>56</v>
      </c>
      <c r="L5" s="3" t="s">
        <v>84</v>
      </c>
      <c r="M5" s="3" t="s">
        <v>81</v>
      </c>
      <c r="N5" s="3" t="s">
        <v>37</v>
      </c>
      <c r="O5" s="3" t="s">
        <v>249</v>
      </c>
      <c r="P5" s="3" t="s">
        <v>250</v>
      </c>
      <c r="Q5" s="3" t="s">
        <v>57</v>
      </c>
    </row>
    <row r="6" spans="1:18" ht="57" hidden="1">
      <c r="A6" s="3" t="s">
        <v>42</v>
      </c>
      <c r="B6" s="3" t="s">
        <v>35</v>
      </c>
      <c r="C6" s="3" t="str">
        <f>CONCATENATE("MOTOREDUTOR"," ",TabelaEquipamentos[[#This Row],[Fabricante]])</f>
        <v>MOTOREDUTOR WEG CESTARI</v>
      </c>
      <c r="D6" s="3" t="s">
        <v>58</v>
      </c>
      <c r="E6" s="3" t="s">
        <v>59</v>
      </c>
      <c r="F6" s="3">
        <v>43.65</v>
      </c>
      <c r="G6" s="3">
        <v>1750</v>
      </c>
      <c r="H6" s="3" t="s">
        <v>48</v>
      </c>
      <c r="I6" s="3" t="s">
        <v>36</v>
      </c>
      <c r="J6" s="3" t="s">
        <v>60</v>
      </c>
      <c r="K6" s="3" t="s">
        <v>61</v>
      </c>
      <c r="L6" s="3" t="s">
        <v>86</v>
      </c>
      <c r="M6" s="3" t="s">
        <v>488</v>
      </c>
      <c r="N6" s="3" t="s">
        <v>37</v>
      </c>
      <c r="O6" s="3" t="s">
        <v>251</v>
      </c>
      <c r="P6" s="3" t="s">
        <v>252</v>
      </c>
      <c r="Q6" s="3" t="s">
        <v>62</v>
      </c>
    </row>
    <row r="7" spans="1:18" ht="57" hidden="1">
      <c r="A7" s="3" t="s">
        <v>43</v>
      </c>
      <c r="B7" s="3" t="s">
        <v>35</v>
      </c>
      <c r="C7" s="3" t="str">
        <f>CONCATENATE("MOTOREDUTOR"," ",TabelaEquipamentos[[#This Row],[Fabricante]])</f>
        <v>MOTOREDUTOR WEG CESTARI</v>
      </c>
      <c r="D7" s="3" t="s">
        <v>58</v>
      </c>
      <c r="E7" s="3" t="s">
        <v>59</v>
      </c>
      <c r="F7" s="3">
        <v>43.65</v>
      </c>
      <c r="G7" s="3">
        <v>1750</v>
      </c>
      <c r="H7" s="3" t="s">
        <v>48</v>
      </c>
      <c r="I7" s="3" t="s">
        <v>36</v>
      </c>
      <c r="J7" s="3" t="s">
        <v>60</v>
      </c>
      <c r="K7" s="3" t="s">
        <v>63</v>
      </c>
      <c r="L7" s="3" t="s">
        <v>87</v>
      </c>
      <c r="M7" s="3" t="s">
        <v>488</v>
      </c>
      <c r="N7" s="3" t="s">
        <v>37</v>
      </c>
      <c r="O7" s="3" t="s">
        <v>253</v>
      </c>
      <c r="P7" s="3" t="s">
        <v>254</v>
      </c>
      <c r="Q7" s="3" t="s">
        <v>64</v>
      </c>
    </row>
    <row r="8" spans="1:18" ht="57" hidden="1">
      <c r="A8" s="3" t="s">
        <v>44</v>
      </c>
      <c r="B8" s="3" t="s">
        <v>35</v>
      </c>
      <c r="C8" s="3" t="str">
        <f>CONCATENATE("MOTOREDUTOR"," ",TabelaEquipamentos[[#This Row],[Fabricante]])</f>
        <v>MOTOREDUTOR WEG CESTARI</v>
      </c>
      <c r="D8" s="3" t="s">
        <v>65</v>
      </c>
      <c r="E8" s="3" t="s">
        <v>66</v>
      </c>
      <c r="F8" s="3">
        <v>41.4</v>
      </c>
      <c r="G8" s="3">
        <v>1750</v>
      </c>
      <c r="H8" s="3" t="s">
        <v>48</v>
      </c>
      <c r="I8" s="3" t="s">
        <v>36</v>
      </c>
      <c r="J8" s="3" t="s">
        <v>49</v>
      </c>
      <c r="K8" s="3" t="s">
        <v>67</v>
      </c>
      <c r="L8" s="3" t="s">
        <v>85</v>
      </c>
      <c r="M8" s="3" t="s">
        <v>81</v>
      </c>
      <c r="N8" s="3" t="s">
        <v>37</v>
      </c>
      <c r="O8" s="3" t="s">
        <v>255</v>
      </c>
      <c r="P8" s="3" t="s">
        <v>256</v>
      </c>
      <c r="Q8" s="3" t="s">
        <v>68</v>
      </c>
    </row>
    <row r="9" spans="1:18" ht="57">
      <c r="A9" s="3" t="s">
        <v>45</v>
      </c>
      <c r="B9" s="3" t="s">
        <v>35</v>
      </c>
      <c r="C9" s="3" t="str">
        <f>CONCATENATE("MOTOREDUTOR"," ",TabelaEquipamentos[[#This Row],[Fabricante]])</f>
        <v>MOTOREDUTOR WEG CESTARI</v>
      </c>
      <c r="D9" s="3" t="s">
        <v>69</v>
      </c>
      <c r="E9" s="3" t="s">
        <v>70</v>
      </c>
      <c r="F9" s="3">
        <v>43.65</v>
      </c>
      <c r="G9" s="3">
        <v>1750</v>
      </c>
      <c r="H9" s="3" t="s">
        <v>48</v>
      </c>
      <c r="I9" s="3" t="s">
        <v>36</v>
      </c>
      <c r="J9" s="3" t="s">
        <v>60</v>
      </c>
      <c r="K9" s="3" t="s">
        <v>71</v>
      </c>
      <c r="L9" s="3" t="s">
        <v>88</v>
      </c>
      <c r="M9" s="3" t="s">
        <v>489</v>
      </c>
      <c r="N9" s="3" t="s">
        <v>37</v>
      </c>
      <c r="O9" s="3" t="s">
        <v>257</v>
      </c>
      <c r="P9" s="3" t="s">
        <v>258</v>
      </c>
      <c r="Q9" s="3" t="s">
        <v>72</v>
      </c>
    </row>
    <row r="10" spans="1:18" ht="57">
      <c r="A10" s="3" t="s">
        <v>490</v>
      </c>
      <c r="B10" s="3" t="s">
        <v>35</v>
      </c>
      <c r="C10" s="3" t="str">
        <f>CONCATENATE("MOTOREDUTOR"," ",TabelaEquipamentos[[#This Row],[Fabricante]])</f>
        <v>MOTOREDUTOR WEG CESTARI</v>
      </c>
      <c r="D10" s="3" t="s">
        <v>58</v>
      </c>
      <c r="E10" s="3" t="s">
        <v>74</v>
      </c>
      <c r="F10" s="3">
        <v>43.65</v>
      </c>
      <c r="G10" s="3">
        <v>1750</v>
      </c>
      <c r="H10" s="3" t="s">
        <v>48</v>
      </c>
      <c r="I10" s="3" t="s">
        <v>36</v>
      </c>
      <c r="J10" s="3" t="s">
        <v>60</v>
      </c>
      <c r="K10" s="3" t="s">
        <v>75</v>
      </c>
      <c r="L10" s="3" t="s">
        <v>88</v>
      </c>
      <c r="M10" s="3" t="s">
        <v>489</v>
      </c>
      <c r="N10" s="3" t="s">
        <v>37</v>
      </c>
      <c r="O10" s="3" t="s">
        <v>259</v>
      </c>
      <c r="P10" s="3" t="s">
        <v>260</v>
      </c>
      <c r="Q10" s="3" t="s">
        <v>76</v>
      </c>
    </row>
    <row r="11" spans="1:18" ht="57" hidden="1">
      <c r="A11" s="3" t="s">
        <v>77</v>
      </c>
      <c r="B11" s="3" t="s">
        <v>35</v>
      </c>
      <c r="C11" s="3" t="str">
        <f>CONCATENATE("MOTOREDUTOR"," ",TabelaEquipamentos[[#This Row],[Fabricante]])</f>
        <v>MOTOREDUTOR WEG CESTARI</v>
      </c>
      <c r="D11" s="3" t="s">
        <v>46</v>
      </c>
      <c r="E11" s="3" t="s">
        <v>66</v>
      </c>
      <c r="F11" s="3">
        <v>41.4</v>
      </c>
      <c r="G11" s="3">
        <v>1750</v>
      </c>
      <c r="H11" s="3" t="s">
        <v>48</v>
      </c>
      <c r="I11" s="3" t="s">
        <v>36</v>
      </c>
      <c r="J11" s="3" t="s">
        <v>49</v>
      </c>
      <c r="K11" s="3" t="s">
        <v>78</v>
      </c>
      <c r="L11" s="3" t="s">
        <v>88</v>
      </c>
      <c r="M11" s="3" t="s">
        <v>81</v>
      </c>
      <c r="N11" s="3" t="s">
        <v>37</v>
      </c>
      <c r="O11" s="3" t="s">
        <v>261</v>
      </c>
      <c r="P11" s="3" t="s">
        <v>262</v>
      </c>
      <c r="Q11" s="3" t="s">
        <v>79</v>
      </c>
    </row>
    <row r="12" spans="1:18" ht="57" hidden="1">
      <c r="A12" s="3" t="s">
        <v>89</v>
      </c>
      <c r="B12" s="3" t="s">
        <v>35</v>
      </c>
      <c r="C12" s="3" t="str">
        <f>CONCATENATE("MOTOREDUTOR"," ",TabelaEquipamentos[[#This Row],[Fabricante]])</f>
        <v>MOTOREDUTOR WEG CESTARI</v>
      </c>
      <c r="D12" s="3" t="s">
        <v>98</v>
      </c>
      <c r="E12" s="3" t="s">
        <v>99</v>
      </c>
      <c r="F12" s="3">
        <v>180.35</v>
      </c>
      <c r="G12" s="3">
        <v>1750</v>
      </c>
      <c r="H12" s="3" t="s">
        <v>100</v>
      </c>
      <c r="I12" s="3" t="s">
        <v>36</v>
      </c>
      <c r="J12" s="3" t="s">
        <v>101</v>
      </c>
      <c r="K12" s="3" t="s">
        <v>102</v>
      </c>
      <c r="L12" s="3" t="s">
        <v>103</v>
      </c>
      <c r="M12" s="3" t="s">
        <v>104</v>
      </c>
      <c r="N12" s="3" t="s">
        <v>105</v>
      </c>
      <c r="O12" s="3" t="s">
        <v>265</v>
      </c>
      <c r="P12" s="3" t="s">
        <v>266</v>
      </c>
      <c r="Q12" s="3" t="s">
        <v>122</v>
      </c>
    </row>
    <row r="13" spans="1:18" ht="57" hidden="1">
      <c r="A13" s="3" t="s">
        <v>90</v>
      </c>
      <c r="B13" s="3" t="s">
        <v>35</v>
      </c>
      <c r="C13" s="3" t="str">
        <f>CONCATENATE("MOTOREDUTOR"," ",TabelaEquipamentos[[#This Row],[Fabricante]])</f>
        <v>MOTOREDUTOR WEG CESTARI</v>
      </c>
      <c r="D13" s="3" t="s">
        <v>98</v>
      </c>
      <c r="E13" s="3" t="s">
        <v>99</v>
      </c>
      <c r="F13" s="3">
        <v>180.35</v>
      </c>
      <c r="G13" s="3">
        <v>1750</v>
      </c>
      <c r="H13" s="3" t="s">
        <v>100</v>
      </c>
      <c r="I13" s="3" t="s">
        <v>36</v>
      </c>
      <c r="J13" s="3" t="s">
        <v>101</v>
      </c>
      <c r="K13" s="3" t="s">
        <v>106</v>
      </c>
      <c r="L13" s="3" t="s">
        <v>103</v>
      </c>
      <c r="M13" s="3" t="s">
        <v>104</v>
      </c>
      <c r="N13" s="3" t="s">
        <v>105</v>
      </c>
      <c r="O13" s="3" t="s">
        <v>267</v>
      </c>
      <c r="P13" s="3" t="s">
        <v>268</v>
      </c>
      <c r="Q13" s="3" t="s">
        <v>114</v>
      </c>
    </row>
    <row r="14" spans="1:18" ht="57" hidden="1">
      <c r="A14" s="3" t="s">
        <v>91</v>
      </c>
      <c r="B14" s="3" t="s">
        <v>35</v>
      </c>
      <c r="C14" s="3" t="str">
        <f>CONCATENATE("MOTOREDUTOR"," ",TabelaEquipamentos[[#This Row],[Fabricante]])</f>
        <v>MOTOREDUTOR WEG CESTARI</v>
      </c>
      <c r="D14" s="3" t="s">
        <v>98</v>
      </c>
      <c r="E14" s="3" t="s">
        <v>99</v>
      </c>
      <c r="F14" s="3">
        <v>180.35</v>
      </c>
      <c r="G14" s="3">
        <v>1750</v>
      </c>
      <c r="H14" s="3" t="s">
        <v>100</v>
      </c>
      <c r="I14" s="3" t="s">
        <v>36</v>
      </c>
      <c r="J14" s="3" t="s">
        <v>101</v>
      </c>
      <c r="K14" s="3" t="s">
        <v>107</v>
      </c>
      <c r="L14" s="3" t="s">
        <v>103</v>
      </c>
      <c r="M14" s="3" t="s">
        <v>104</v>
      </c>
      <c r="N14" s="3" t="s">
        <v>105</v>
      </c>
      <c r="O14" s="3" t="s">
        <v>269</v>
      </c>
      <c r="P14" s="3" t="s">
        <v>270</v>
      </c>
      <c r="Q14" s="3" t="s">
        <v>115</v>
      </c>
    </row>
    <row r="15" spans="1:18" ht="57" hidden="1">
      <c r="A15" s="3" t="s">
        <v>92</v>
      </c>
      <c r="B15" s="3" t="s">
        <v>35</v>
      </c>
      <c r="C15" s="3" t="str">
        <f>CONCATENATE("MOTOREDUTOR"," ",TabelaEquipamentos[[#This Row],[Fabricante]])</f>
        <v>MOTOREDUTOR WEG CESTARI</v>
      </c>
      <c r="D15" s="3" t="s">
        <v>98</v>
      </c>
      <c r="E15" s="3" t="s">
        <v>99</v>
      </c>
      <c r="F15" s="3">
        <v>180.35</v>
      </c>
      <c r="G15" s="3">
        <v>1750</v>
      </c>
      <c r="H15" s="3" t="s">
        <v>100</v>
      </c>
      <c r="I15" s="3" t="s">
        <v>36</v>
      </c>
      <c r="J15" s="3" t="s">
        <v>101</v>
      </c>
      <c r="K15" s="3" t="s">
        <v>108</v>
      </c>
      <c r="L15" s="3" t="s">
        <v>103</v>
      </c>
      <c r="M15" s="3" t="s">
        <v>104</v>
      </c>
      <c r="N15" s="3" t="s">
        <v>105</v>
      </c>
      <c r="O15" s="3" t="s">
        <v>271</v>
      </c>
      <c r="P15" s="3" t="s">
        <v>272</v>
      </c>
      <c r="Q15" s="3" t="s">
        <v>116</v>
      </c>
    </row>
    <row r="16" spans="1:18" ht="57" hidden="1">
      <c r="A16" s="3" t="s">
        <v>93</v>
      </c>
      <c r="B16" s="3" t="s">
        <v>35</v>
      </c>
      <c r="C16" s="3" t="str">
        <f>CONCATENATE("MOTOREDUTOR"," ",TabelaEquipamentos[[#This Row],[Fabricante]])</f>
        <v>MOTOREDUTOR WEG CESTARI</v>
      </c>
      <c r="D16" s="3" t="s">
        <v>98</v>
      </c>
      <c r="E16" s="3" t="s">
        <v>99</v>
      </c>
      <c r="F16" s="3">
        <v>180.35</v>
      </c>
      <c r="G16" s="3">
        <v>1750</v>
      </c>
      <c r="H16" s="3" t="s">
        <v>100</v>
      </c>
      <c r="I16" s="3" t="s">
        <v>36</v>
      </c>
      <c r="J16" s="3" t="s">
        <v>101</v>
      </c>
      <c r="K16" s="3" t="s">
        <v>109</v>
      </c>
      <c r="L16" s="3" t="s">
        <v>103</v>
      </c>
      <c r="M16" s="3" t="s">
        <v>104</v>
      </c>
      <c r="N16" s="3" t="s">
        <v>105</v>
      </c>
      <c r="O16" s="3" t="s">
        <v>273</v>
      </c>
      <c r="P16" s="3" t="s">
        <v>274</v>
      </c>
      <c r="Q16" s="3" t="s">
        <v>117</v>
      </c>
    </row>
    <row r="17" spans="1:17" ht="57" hidden="1">
      <c r="A17" s="3" t="s">
        <v>94</v>
      </c>
      <c r="B17" s="3" t="s">
        <v>35</v>
      </c>
      <c r="C17" s="3" t="str">
        <f>CONCATENATE("MOTOREDUTOR"," ",TabelaEquipamentos[[#This Row],[Fabricante]])</f>
        <v>MOTOREDUTOR WEG CESTARI</v>
      </c>
      <c r="D17" s="3" t="s">
        <v>98</v>
      </c>
      <c r="E17" s="3" t="s">
        <v>99</v>
      </c>
      <c r="F17" s="3">
        <v>180.35</v>
      </c>
      <c r="G17" s="3">
        <v>1750</v>
      </c>
      <c r="H17" s="3" t="s">
        <v>100</v>
      </c>
      <c r="I17" s="3" t="s">
        <v>36</v>
      </c>
      <c r="J17" s="3" t="s">
        <v>101</v>
      </c>
      <c r="K17" s="3" t="s">
        <v>110</v>
      </c>
      <c r="L17" s="3" t="s">
        <v>103</v>
      </c>
      <c r="M17" s="3" t="s">
        <v>104</v>
      </c>
      <c r="N17" s="3" t="s">
        <v>105</v>
      </c>
      <c r="O17" s="3" t="s">
        <v>275</v>
      </c>
      <c r="P17" s="3" t="s">
        <v>276</v>
      </c>
      <c r="Q17" s="3" t="s">
        <v>118</v>
      </c>
    </row>
    <row r="18" spans="1:17" ht="57" hidden="1">
      <c r="A18" s="3" t="s">
        <v>95</v>
      </c>
      <c r="B18" s="3" t="s">
        <v>35</v>
      </c>
      <c r="C18" s="3" t="str">
        <f>CONCATENATE("MOTOREDUTOR"," ",TabelaEquipamentos[[#This Row],[Fabricante]])</f>
        <v>MOTOREDUTOR WEG CESTARI</v>
      </c>
      <c r="D18" s="3" t="s">
        <v>98</v>
      </c>
      <c r="E18" s="3" t="s">
        <v>99</v>
      </c>
      <c r="F18" s="3">
        <v>180.35</v>
      </c>
      <c r="G18" s="3">
        <v>1750</v>
      </c>
      <c r="H18" s="3" t="s">
        <v>100</v>
      </c>
      <c r="I18" s="3" t="s">
        <v>36</v>
      </c>
      <c r="J18" s="3" t="s">
        <v>101</v>
      </c>
      <c r="K18" s="3" t="s">
        <v>111</v>
      </c>
      <c r="L18" s="3" t="s">
        <v>103</v>
      </c>
      <c r="M18" s="3" t="s">
        <v>104</v>
      </c>
      <c r="N18" s="3" t="s">
        <v>105</v>
      </c>
      <c r="O18" s="3" t="s">
        <v>277</v>
      </c>
      <c r="P18" s="3" t="s">
        <v>278</v>
      </c>
      <c r="Q18" s="3" t="s">
        <v>119</v>
      </c>
    </row>
    <row r="19" spans="1:17" ht="57" hidden="1">
      <c r="A19" s="3" t="s">
        <v>96</v>
      </c>
      <c r="B19" s="3" t="s">
        <v>35</v>
      </c>
      <c r="C19" s="3" t="str">
        <f>CONCATENATE("MOTOREDUTOR"," ",TabelaEquipamentos[[#This Row],[Fabricante]])</f>
        <v>MOTOREDUTOR WEG CESTARI</v>
      </c>
      <c r="D19" s="3" t="s">
        <v>98</v>
      </c>
      <c r="E19" s="3" t="s">
        <v>99</v>
      </c>
      <c r="F19" s="3">
        <v>180.35</v>
      </c>
      <c r="G19" s="3">
        <v>1750</v>
      </c>
      <c r="H19" s="3" t="s">
        <v>100</v>
      </c>
      <c r="I19" s="3" t="s">
        <v>36</v>
      </c>
      <c r="J19" s="3" t="s">
        <v>101</v>
      </c>
      <c r="K19" s="3" t="s">
        <v>112</v>
      </c>
      <c r="L19" s="3" t="s">
        <v>103</v>
      </c>
      <c r="M19" s="3" t="s">
        <v>104</v>
      </c>
      <c r="N19" s="3" t="s">
        <v>105</v>
      </c>
      <c r="O19" s="3" t="s">
        <v>279</v>
      </c>
      <c r="P19" s="3" t="s">
        <v>280</v>
      </c>
      <c r="Q19" s="3" t="s">
        <v>120</v>
      </c>
    </row>
    <row r="20" spans="1:17" ht="57" hidden="1">
      <c r="A20" s="3" t="s">
        <v>97</v>
      </c>
      <c r="B20" s="3" t="s">
        <v>35</v>
      </c>
      <c r="C20" s="3" t="str">
        <f>CONCATENATE("MOTOREDUTOR"," ",TabelaEquipamentos[[#This Row],[Fabricante]])</f>
        <v>MOTOREDUTOR WEG CESTARI</v>
      </c>
      <c r="D20" s="3" t="s">
        <v>98</v>
      </c>
      <c r="E20" s="3" t="s">
        <v>99</v>
      </c>
      <c r="F20" s="3">
        <v>180.35</v>
      </c>
      <c r="G20" s="3">
        <v>1750</v>
      </c>
      <c r="H20" s="3" t="s">
        <v>100</v>
      </c>
      <c r="I20" s="3" t="s">
        <v>36</v>
      </c>
      <c r="J20" s="3" t="s">
        <v>101</v>
      </c>
      <c r="K20" s="3" t="s">
        <v>113</v>
      </c>
      <c r="L20" s="3" t="s">
        <v>103</v>
      </c>
      <c r="M20" s="3" t="s">
        <v>104</v>
      </c>
      <c r="N20" s="3" t="s">
        <v>105</v>
      </c>
      <c r="O20" s="3" t="s">
        <v>281</v>
      </c>
      <c r="P20" s="3" t="s">
        <v>282</v>
      </c>
      <c r="Q20" s="3" t="s">
        <v>121</v>
      </c>
    </row>
    <row r="21" spans="1:17" ht="71.25" hidden="1">
      <c r="A21" s="3" t="s">
        <v>161</v>
      </c>
      <c r="B21" s="3" t="s">
        <v>124</v>
      </c>
      <c r="C21" s="3" t="str">
        <f>CONCATENATE("MOTOREDUTOR"," ",TabelaEquipamentos[[#This Row],[Fabricante]])</f>
        <v>MOTOREDUTOR PROMOEN</v>
      </c>
      <c r="D21" s="3" t="s">
        <v>125</v>
      </c>
      <c r="E21" s="3" t="s">
        <v>126</v>
      </c>
      <c r="F21" s="3" t="s">
        <v>127</v>
      </c>
      <c r="G21" s="3">
        <v>1725</v>
      </c>
      <c r="H21" s="3" t="s">
        <v>127</v>
      </c>
      <c r="I21" s="3">
        <v>220</v>
      </c>
      <c r="J21" s="3">
        <v>2</v>
      </c>
      <c r="K21" s="3" t="s">
        <v>128</v>
      </c>
      <c r="L21" s="3" t="s">
        <v>160</v>
      </c>
      <c r="M21" s="3" t="s">
        <v>215</v>
      </c>
      <c r="N21" s="3"/>
      <c r="O21" s="3" t="s">
        <v>285</v>
      </c>
      <c r="P21" s="3" t="s">
        <v>286</v>
      </c>
      <c r="Q21" s="3" t="s">
        <v>129</v>
      </c>
    </row>
    <row r="22" spans="1:17" ht="71.25" hidden="1">
      <c r="A22" s="3" t="s">
        <v>162</v>
      </c>
      <c r="B22" s="3" t="s">
        <v>124</v>
      </c>
      <c r="C22" s="3" t="str">
        <f>CONCATENATE("MOTOREDUTOR"," ",TabelaEquipamentos[[#This Row],[Fabricante]])</f>
        <v>MOTOREDUTOR PROMOEN</v>
      </c>
      <c r="D22" s="3" t="s">
        <v>125</v>
      </c>
      <c r="E22" s="3" t="s">
        <v>126</v>
      </c>
      <c r="F22" s="3" t="s">
        <v>127</v>
      </c>
      <c r="G22" s="3">
        <v>1725</v>
      </c>
      <c r="H22" s="3" t="s">
        <v>127</v>
      </c>
      <c r="I22" s="3">
        <v>220</v>
      </c>
      <c r="J22" s="3">
        <v>2</v>
      </c>
      <c r="K22" s="3" t="s">
        <v>130</v>
      </c>
      <c r="L22" s="3" t="s">
        <v>160</v>
      </c>
      <c r="M22" s="3" t="s">
        <v>215</v>
      </c>
      <c r="N22" s="3"/>
      <c r="O22" s="3" t="s">
        <v>283</v>
      </c>
      <c r="P22" s="3" t="s">
        <v>284</v>
      </c>
      <c r="Q22" s="3" t="s">
        <v>131</v>
      </c>
    </row>
    <row r="23" spans="1:17" ht="71.25" hidden="1">
      <c r="A23" s="3" t="s">
        <v>163</v>
      </c>
      <c r="B23" s="3" t="s">
        <v>124</v>
      </c>
      <c r="C23" s="3" t="str">
        <f>CONCATENATE("MOTOREDUTOR"," ",TabelaEquipamentos[[#This Row],[Fabricante]])</f>
        <v>MOTOREDUTOR PROMOEN</v>
      </c>
      <c r="D23" s="3" t="s">
        <v>125</v>
      </c>
      <c r="E23" s="3" t="s">
        <v>126</v>
      </c>
      <c r="F23" s="3" t="s">
        <v>127</v>
      </c>
      <c r="G23" s="3">
        <v>1725</v>
      </c>
      <c r="H23" s="3" t="s">
        <v>127</v>
      </c>
      <c r="I23" s="3">
        <v>220</v>
      </c>
      <c r="J23" s="3">
        <v>2</v>
      </c>
      <c r="K23" s="3" t="s">
        <v>132</v>
      </c>
      <c r="L23" s="3" t="s">
        <v>160</v>
      </c>
      <c r="M23" s="3" t="s">
        <v>215</v>
      </c>
      <c r="N23" s="3"/>
      <c r="O23" s="3" t="s">
        <v>287</v>
      </c>
      <c r="P23" s="3" t="s">
        <v>288</v>
      </c>
      <c r="Q23" s="3" t="s">
        <v>133</v>
      </c>
    </row>
    <row r="24" spans="1:17" ht="71.25" hidden="1">
      <c r="A24" s="3" t="s">
        <v>164</v>
      </c>
      <c r="B24" s="3" t="s">
        <v>124</v>
      </c>
      <c r="C24" s="3" t="str">
        <f>CONCATENATE("MOTOREDUTOR"," ",TabelaEquipamentos[[#This Row],[Fabricante]])</f>
        <v>MOTOREDUTOR PROMOEN</v>
      </c>
      <c r="D24" s="3" t="s">
        <v>125</v>
      </c>
      <c r="E24" s="3" t="s">
        <v>126</v>
      </c>
      <c r="F24" s="3" t="s">
        <v>127</v>
      </c>
      <c r="G24" s="3">
        <v>1725</v>
      </c>
      <c r="H24" s="3" t="s">
        <v>127</v>
      </c>
      <c r="I24" s="3">
        <v>220</v>
      </c>
      <c r="J24" s="3">
        <v>2</v>
      </c>
      <c r="K24" s="3" t="s">
        <v>134</v>
      </c>
      <c r="L24" s="3" t="s">
        <v>160</v>
      </c>
      <c r="M24" s="3" t="s">
        <v>215</v>
      </c>
      <c r="N24" s="3"/>
      <c r="O24" s="3" t="s">
        <v>289</v>
      </c>
      <c r="P24" s="3" t="s">
        <v>290</v>
      </c>
      <c r="Q24" s="3" t="s">
        <v>135</v>
      </c>
    </row>
    <row r="25" spans="1:17" ht="71.25" hidden="1">
      <c r="A25" s="3" t="s">
        <v>165</v>
      </c>
      <c r="B25" s="3" t="s">
        <v>124</v>
      </c>
      <c r="C25" s="3" t="str">
        <f>CONCATENATE("MOTOREDUTOR"," ",TabelaEquipamentos[[#This Row],[Fabricante]])</f>
        <v>MOTOREDUTOR PROMOEN</v>
      </c>
      <c r="D25" s="3" t="s">
        <v>125</v>
      </c>
      <c r="E25" s="3" t="s">
        <v>126</v>
      </c>
      <c r="F25" s="3" t="s">
        <v>127</v>
      </c>
      <c r="G25" s="3">
        <v>1725</v>
      </c>
      <c r="H25" s="3" t="s">
        <v>127</v>
      </c>
      <c r="I25" s="3">
        <v>220</v>
      </c>
      <c r="J25" s="3">
        <v>2</v>
      </c>
      <c r="K25" s="3" t="s">
        <v>136</v>
      </c>
      <c r="L25" s="3" t="s">
        <v>160</v>
      </c>
      <c r="M25" s="3" t="s">
        <v>215</v>
      </c>
      <c r="N25" s="3"/>
      <c r="O25" s="3" t="s">
        <v>291</v>
      </c>
      <c r="P25" s="3" t="s">
        <v>292</v>
      </c>
      <c r="Q25" s="3" t="s">
        <v>137</v>
      </c>
    </row>
    <row r="26" spans="1:17" ht="71.25" hidden="1">
      <c r="A26" s="3" t="s">
        <v>166</v>
      </c>
      <c r="B26" s="3" t="s">
        <v>124</v>
      </c>
      <c r="C26" s="3" t="str">
        <f>CONCATENATE("MOTOREDUTOR"," ",TabelaEquipamentos[[#This Row],[Fabricante]])</f>
        <v>MOTOREDUTOR PROMOEN</v>
      </c>
      <c r="D26" s="3" t="s">
        <v>125</v>
      </c>
      <c r="E26" s="3" t="s">
        <v>126</v>
      </c>
      <c r="F26" s="3" t="s">
        <v>127</v>
      </c>
      <c r="G26" s="3">
        <v>1725</v>
      </c>
      <c r="H26" s="3" t="s">
        <v>127</v>
      </c>
      <c r="I26" s="3">
        <v>220</v>
      </c>
      <c r="J26" s="3">
        <v>2</v>
      </c>
      <c r="K26" s="3" t="s">
        <v>138</v>
      </c>
      <c r="L26" s="3" t="s">
        <v>160</v>
      </c>
      <c r="M26" s="3" t="s">
        <v>215</v>
      </c>
      <c r="N26" s="3"/>
      <c r="O26" s="3" t="s">
        <v>293</v>
      </c>
      <c r="P26" s="3" t="s">
        <v>294</v>
      </c>
      <c r="Q26" s="3" t="s">
        <v>139</v>
      </c>
    </row>
    <row r="27" spans="1:17" ht="71.25" hidden="1">
      <c r="A27" s="3" t="s">
        <v>167</v>
      </c>
      <c r="B27" s="3" t="s">
        <v>124</v>
      </c>
      <c r="C27" s="3" t="str">
        <f>CONCATENATE("MOTOREDUTOR"," ",TabelaEquipamentos[[#This Row],[Fabricante]])</f>
        <v>MOTOREDUTOR PROMOEN</v>
      </c>
      <c r="D27" s="3" t="s">
        <v>125</v>
      </c>
      <c r="E27" s="3" t="s">
        <v>126</v>
      </c>
      <c r="F27" s="3" t="s">
        <v>127</v>
      </c>
      <c r="G27" s="3">
        <v>1725</v>
      </c>
      <c r="H27" s="3" t="s">
        <v>127</v>
      </c>
      <c r="I27" s="3">
        <v>220</v>
      </c>
      <c r="J27" s="3">
        <v>2</v>
      </c>
      <c r="K27" s="3" t="s">
        <v>140</v>
      </c>
      <c r="L27" s="3" t="s">
        <v>160</v>
      </c>
      <c r="M27" s="3" t="s">
        <v>215</v>
      </c>
      <c r="N27" s="3"/>
      <c r="O27" s="3" t="s">
        <v>295</v>
      </c>
      <c r="P27" s="3" t="s">
        <v>296</v>
      </c>
      <c r="Q27" s="3" t="s">
        <v>141</v>
      </c>
    </row>
    <row r="28" spans="1:17" ht="71.25" hidden="1">
      <c r="A28" s="3" t="s">
        <v>168</v>
      </c>
      <c r="B28" s="3" t="s">
        <v>124</v>
      </c>
      <c r="C28" s="3" t="str">
        <f>CONCATENATE("MOTOREDUTOR"," ",TabelaEquipamentos[[#This Row],[Fabricante]])</f>
        <v>MOTOREDUTOR PROMOEN</v>
      </c>
      <c r="D28" s="3" t="s">
        <v>125</v>
      </c>
      <c r="E28" s="3" t="s">
        <v>126</v>
      </c>
      <c r="F28" s="3" t="s">
        <v>127</v>
      </c>
      <c r="G28" s="3">
        <v>1725</v>
      </c>
      <c r="H28" s="3" t="s">
        <v>127</v>
      </c>
      <c r="I28" s="3">
        <v>220</v>
      </c>
      <c r="J28" s="3">
        <v>2</v>
      </c>
      <c r="K28" s="3" t="s">
        <v>142</v>
      </c>
      <c r="L28" s="3" t="s">
        <v>160</v>
      </c>
      <c r="M28" s="3" t="s">
        <v>215</v>
      </c>
      <c r="N28" s="3"/>
      <c r="O28" s="3" t="s">
        <v>297</v>
      </c>
      <c r="P28" s="3" t="s">
        <v>298</v>
      </c>
      <c r="Q28" s="3" t="s">
        <v>143</v>
      </c>
    </row>
    <row r="29" spans="1:17" ht="71.25" hidden="1">
      <c r="A29" s="3" t="s">
        <v>169</v>
      </c>
      <c r="B29" s="3" t="s">
        <v>124</v>
      </c>
      <c r="C29" s="3" t="str">
        <f>CONCATENATE("MOTOREDUTOR"," ",TabelaEquipamentos[[#This Row],[Fabricante]])</f>
        <v>MOTOREDUTOR PROMOEN</v>
      </c>
      <c r="D29" s="3" t="s">
        <v>125</v>
      </c>
      <c r="E29" s="3" t="s">
        <v>126</v>
      </c>
      <c r="F29" s="3" t="s">
        <v>127</v>
      </c>
      <c r="G29" s="3">
        <v>1725</v>
      </c>
      <c r="H29" s="3" t="s">
        <v>127</v>
      </c>
      <c r="I29" s="3">
        <v>220</v>
      </c>
      <c r="J29" s="3">
        <v>2</v>
      </c>
      <c r="K29" s="3" t="s">
        <v>144</v>
      </c>
      <c r="L29" s="3" t="s">
        <v>160</v>
      </c>
      <c r="M29" s="3" t="s">
        <v>215</v>
      </c>
      <c r="N29" s="3"/>
      <c r="O29" s="3" t="s">
        <v>299</v>
      </c>
      <c r="P29" s="3" t="s">
        <v>300</v>
      </c>
      <c r="Q29" s="3" t="s">
        <v>145</v>
      </c>
    </row>
    <row r="30" spans="1:17" ht="71.25" hidden="1">
      <c r="A30" s="3" t="s">
        <v>170</v>
      </c>
      <c r="B30" s="3" t="s">
        <v>124</v>
      </c>
      <c r="C30" s="3" t="str">
        <f>CONCATENATE("MOTOREDUTOR"," ",TabelaEquipamentos[[#This Row],[Fabricante]])</f>
        <v>MOTOREDUTOR PROMOEN</v>
      </c>
      <c r="D30" s="3" t="s">
        <v>125</v>
      </c>
      <c r="E30" s="3" t="s">
        <v>126</v>
      </c>
      <c r="F30" s="3" t="s">
        <v>127</v>
      </c>
      <c r="G30" s="3">
        <v>1725</v>
      </c>
      <c r="H30" s="3" t="s">
        <v>127</v>
      </c>
      <c r="I30" s="3">
        <v>220</v>
      </c>
      <c r="J30" s="3">
        <v>2</v>
      </c>
      <c r="K30" s="3" t="s">
        <v>146</v>
      </c>
      <c r="L30" s="3" t="s">
        <v>160</v>
      </c>
      <c r="M30" s="3" t="s">
        <v>215</v>
      </c>
      <c r="N30" s="3"/>
      <c r="O30" s="3" t="s">
        <v>301</v>
      </c>
      <c r="P30" s="3" t="s">
        <v>302</v>
      </c>
      <c r="Q30" s="3" t="s">
        <v>147</v>
      </c>
    </row>
    <row r="31" spans="1:17" ht="71.25" hidden="1">
      <c r="A31" s="3" t="s">
        <v>171</v>
      </c>
      <c r="B31" s="3" t="s">
        <v>124</v>
      </c>
      <c r="C31" s="3" t="str">
        <f>CONCATENATE("MOTOREDUTOR"," ",TabelaEquipamentos[[#This Row],[Fabricante]])</f>
        <v>MOTOREDUTOR PROMOEN</v>
      </c>
      <c r="D31" s="3" t="s">
        <v>125</v>
      </c>
      <c r="E31" s="3" t="s">
        <v>126</v>
      </c>
      <c r="F31" s="3" t="s">
        <v>127</v>
      </c>
      <c r="G31" s="3">
        <v>1725</v>
      </c>
      <c r="H31" s="3" t="s">
        <v>127</v>
      </c>
      <c r="I31" s="3">
        <v>220</v>
      </c>
      <c r="J31" s="3">
        <v>2</v>
      </c>
      <c r="K31" s="3" t="s">
        <v>148</v>
      </c>
      <c r="L31" s="3" t="s">
        <v>160</v>
      </c>
      <c r="M31" s="3" t="s">
        <v>215</v>
      </c>
      <c r="N31" s="3"/>
      <c r="O31" s="3" t="s">
        <v>303</v>
      </c>
      <c r="P31" s="3" t="s">
        <v>304</v>
      </c>
      <c r="Q31" s="3" t="s">
        <v>149</v>
      </c>
    </row>
    <row r="32" spans="1:17" ht="71.25" hidden="1">
      <c r="A32" s="3" t="s">
        <v>172</v>
      </c>
      <c r="B32" s="3" t="s">
        <v>124</v>
      </c>
      <c r="C32" s="3" t="str">
        <f>CONCATENATE("MOTOREDUTOR"," ",TabelaEquipamentos[[#This Row],[Fabricante]])</f>
        <v>MOTOREDUTOR PROMOEN</v>
      </c>
      <c r="D32" s="3" t="s">
        <v>125</v>
      </c>
      <c r="E32" s="3" t="s">
        <v>126</v>
      </c>
      <c r="F32" s="3" t="s">
        <v>127</v>
      </c>
      <c r="G32" s="3">
        <v>1725</v>
      </c>
      <c r="H32" s="3" t="s">
        <v>127</v>
      </c>
      <c r="I32" s="3">
        <v>220</v>
      </c>
      <c r="J32" s="3">
        <v>2</v>
      </c>
      <c r="K32" s="3" t="s">
        <v>150</v>
      </c>
      <c r="L32" s="3" t="s">
        <v>160</v>
      </c>
      <c r="M32" s="3" t="s">
        <v>215</v>
      </c>
      <c r="N32" s="3"/>
      <c r="O32" s="3" t="s">
        <v>305</v>
      </c>
      <c r="P32" s="3" t="s">
        <v>306</v>
      </c>
      <c r="Q32" s="3" t="s">
        <v>151</v>
      </c>
    </row>
    <row r="33" spans="1:17" ht="71.25" hidden="1">
      <c r="A33" s="3" t="s">
        <v>173</v>
      </c>
      <c r="B33" s="3" t="s">
        <v>124</v>
      </c>
      <c r="C33" s="3" t="str">
        <f>CONCATENATE("MOTOREDUTOR"," ",TabelaEquipamentos[[#This Row],[Fabricante]])</f>
        <v>MOTOREDUTOR PROMOEN</v>
      </c>
      <c r="D33" s="3" t="s">
        <v>125</v>
      </c>
      <c r="E33" s="3" t="s">
        <v>126</v>
      </c>
      <c r="F33" s="3" t="s">
        <v>127</v>
      </c>
      <c r="G33" s="3">
        <v>1725</v>
      </c>
      <c r="H33" s="3" t="s">
        <v>127</v>
      </c>
      <c r="I33" s="3">
        <v>220</v>
      </c>
      <c r="J33" s="3">
        <v>2</v>
      </c>
      <c r="K33" s="3" t="s">
        <v>152</v>
      </c>
      <c r="L33" s="3" t="s">
        <v>160</v>
      </c>
      <c r="M33" s="3" t="s">
        <v>215</v>
      </c>
      <c r="N33" s="3"/>
      <c r="O33" s="3" t="s">
        <v>307</v>
      </c>
      <c r="P33" s="3" t="s">
        <v>308</v>
      </c>
      <c r="Q33" s="3" t="s">
        <v>153</v>
      </c>
    </row>
    <row r="34" spans="1:17" ht="71.25" hidden="1">
      <c r="A34" s="3" t="s">
        <v>174</v>
      </c>
      <c r="B34" s="3" t="s">
        <v>124</v>
      </c>
      <c r="C34" s="3" t="str">
        <f>CONCATENATE("MOTOREDUTOR"," ",TabelaEquipamentos[[#This Row],[Fabricante]])</f>
        <v>MOTOREDUTOR PROMOEN</v>
      </c>
      <c r="D34" s="3" t="s">
        <v>125</v>
      </c>
      <c r="E34" s="3" t="s">
        <v>126</v>
      </c>
      <c r="F34" s="3" t="s">
        <v>127</v>
      </c>
      <c r="G34" s="3">
        <v>1725</v>
      </c>
      <c r="H34" s="3" t="s">
        <v>127</v>
      </c>
      <c r="I34" s="3">
        <v>220</v>
      </c>
      <c r="J34" s="3">
        <v>2</v>
      </c>
      <c r="K34" s="3" t="s">
        <v>154</v>
      </c>
      <c r="L34" s="3" t="s">
        <v>160</v>
      </c>
      <c r="M34" s="3" t="s">
        <v>215</v>
      </c>
      <c r="N34" s="3"/>
      <c r="O34" s="3" t="s">
        <v>309</v>
      </c>
      <c r="P34" s="3" t="s">
        <v>310</v>
      </c>
      <c r="Q34" s="3" t="s">
        <v>155</v>
      </c>
    </row>
    <row r="35" spans="1:17" ht="71.25" hidden="1">
      <c r="A35" s="3" t="s">
        <v>175</v>
      </c>
      <c r="B35" s="3" t="s">
        <v>124</v>
      </c>
      <c r="C35" s="3" t="str">
        <f>CONCATENATE("MOTOREDUTOR"," ",TabelaEquipamentos[[#This Row],[Fabricante]])</f>
        <v>MOTOREDUTOR PROMOEN</v>
      </c>
      <c r="D35" s="3" t="s">
        <v>125</v>
      </c>
      <c r="E35" s="3" t="s">
        <v>126</v>
      </c>
      <c r="F35" s="3" t="s">
        <v>127</v>
      </c>
      <c r="G35" s="3">
        <v>1725</v>
      </c>
      <c r="H35" s="3" t="s">
        <v>127</v>
      </c>
      <c r="I35" s="3">
        <v>220</v>
      </c>
      <c r="J35" s="3">
        <v>2</v>
      </c>
      <c r="K35" s="3" t="s">
        <v>156</v>
      </c>
      <c r="L35" s="3" t="s">
        <v>160</v>
      </c>
      <c r="M35" s="3" t="s">
        <v>215</v>
      </c>
      <c r="N35" s="3"/>
      <c r="O35" s="3" t="s">
        <v>311</v>
      </c>
      <c r="P35" s="3" t="s">
        <v>312</v>
      </c>
      <c r="Q35" s="3" t="s">
        <v>157</v>
      </c>
    </row>
    <row r="36" spans="1:17" ht="85.5" hidden="1">
      <c r="A36" s="3" t="s">
        <v>176</v>
      </c>
      <c r="B36" s="3" t="s">
        <v>124</v>
      </c>
      <c r="C36" s="3" t="str">
        <f>CONCATENATE("MOTOREDUTOR"," ",TabelaEquipamentos[[#This Row],[Fabricante]])</f>
        <v>MOTOREDUTOR PROMOEN</v>
      </c>
      <c r="D36" s="3" t="s">
        <v>125</v>
      </c>
      <c r="E36" s="3" t="s">
        <v>126</v>
      </c>
      <c r="F36" s="3" t="s">
        <v>127</v>
      </c>
      <c r="G36" s="3">
        <v>1725</v>
      </c>
      <c r="H36" s="3" t="s">
        <v>127</v>
      </c>
      <c r="I36" s="3">
        <v>220</v>
      </c>
      <c r="J36" s="3">
        <v>2</v>
      </c>
      <c r="K36" s="3" t="s">
        <v>158</v>
      </c>
      <c r="L36" s="3" t="s">
        <v>160</v>
      </c>
      <c r="M36" s="3" t="s">
        <v>215</v>
      </c>
      <c r="N36" s="3"/>
      <c r="O36" s="3" t="s">
        <v>313</v>
      </c>
      <c r="P36" s="3" t="s">
        <v>314</v>
      </c>
      <c r="Q36" s="3" t="s">
        <v>159</v>
      </c>
    </row>
    <row r="37" spans="1:17" ht="85.5" hidden="1">
      <c r="A37" s="3" t="s">
        <v>177</v>
      </c>
      <c r="B37" s="3" t="s">
        <v>35</v>
      </c>
      <c r="C37" s="3" t="s">
        <v>178</v>
      </c>
      <c r="D37" s="3" t="s">
        <v>179</v>
      </c>
      <c r="E37" s="3" t="s">
        <v>47</v>
      </c>
      <c r="F37" s="3" t="s">
        <v>127</v>
      </c>
      <c r="G37" s="3">
        <v>1750</v>
      </c>
      <c r="H37" s="3" t="s">
        <v>48</v>
      </c>
      <c r="I37" s="3" t="s">
        <v>36</v>
      </c>
      <c r="J37" s="3">
        <v>20</v>
      </c>
      <c r="K37" s="3" t="s">
        <v>181</v>
      </c>
      <c r="L37" s="3" t="s">
        <v>88</v>
      </c>
      <c r="M37" s="3" t="s">
        <v>81</v>
      </c>
      <c r="N37" s="3" t="s">
        <v>37</v>
      </c>
      <c r="O37" s="3" t="s">
        <v>263</v>
      </c>
      <c r="P37" s="3" t="s">
        <v>264</v>
      </c>
      <c r="Q37" s="3" t="s">
        <v>180</v>
      </c>
    </row>
    <row r="38" spans="1:17" ht="57" hidden="1">
      <c r="A38" s="3" t="s">
        <v>182</v>
      </c>
      <c r="B38" s="3" t="s">
        <v>35</v>
      </c>
      <c r="C38" s="3" t="s">
        <v>178</v>
      </c>
      <c r="D38" s="3" t="s">
        <v>183</v>
      </c>
      <c r="E38" s="3" t="s">
        <v>184</v>
      </c>
      <c r="F38" s="3">
        <v>151</v>
      </c>
      <c r="G38" s="3">
        <v>1720</v>
      </c>
      <c r="H38" s="3" t="s">
        <v>100</v>
      </c>
      <c r="I38" s="3" t="s">
        <v>36</v>
      </c>
      <c r="J38" s="3">
        <v>5.75</v>
      </c>
      <c r="K38" s="3" t="s">
        <v>185</v>
      </c>
      <c r="L38" s="3" t="s">
        <v>88</v>
      </c>
      <c r="M38" s="3" t="s">
        <v>198</v>
      </c>
      <c r="N38" s="3" t="s">
        <v>37</v>
      </c>
      <c r="O38" s="3" t="s">
        <v>323</v>
      </c>
      <c r="P38" s="3" t="s">
        <v>324</v>
      </c>
      <c r="Q38" s="3" t="s">
        <v>186</v>
      </c>
    </row>
    <row r="39" spans="1:17" ht="57" hidden="1">
      <c r="A39" s="3" t="s">
        <v>187</v>
      </c>
      <c r="B39" s="3" t="s">
        <v>35</v>
      </c>
      <c r="C39" s="3" t="s">
        <v>178</v>
      </c>
      <c r="D39" s="3" t="s">
        <v>183</v>
      </c>
      <c r="E39" s="3" t="s">
        <v>184</v>
      </c>
      <c r="F39" s="3">
        <v>151</v>
      </c>
      <c r="G39" s="3">
        <v>1720</v>
      </c>
      <c r="H39" s="3" t="s">
        <v>100</v>
      </c>
      <c r="I39" s="3" t="s">
        <v>36</v>
      </c>
      <c r="J39" s="3">
        <v>5.75</v>
      </c>
      <c r="K39" s="3" t="s">
        <v>190</v>
      </c>
      <c r="L39" s="3" t="s">
        <v>88</v>
      </c>
      <c r="M39" s="3" t="s">
        <v>198</v>
      </c>
      <c r="N39" s="3" t="s">
        <v>37</v>
      </c>
      <c r="O39" s="3" t="s">
        <v>325</v>
      </c>
      <c r="P39" s="3" t="s">
        <v>326</v>
      </c>
      <c r="Q39" s="3" t="s">
        <v>191</v>
      </c>
    </row>
    <row r="40" spans="1:17" ht="57" hidden="1">
      <c r="A40" s="3" t="s">
        <v>188</v>
      </c>
      <c r="B40" s="3" t="s">
        <v>35</v>
      </c>
      <c r="C40" s="3" t="s">
        <v>178</v>
      </c>
      <c r="D40" s="3" t="s">
        <v>183</v>
      </c>
      <c r="E40" s="3" t="s">
        <v>184</v>
      </c>
      <c r="F40" s="3">
        <v>151</v>
      </c>
      <c r="G40" s="3">
        <v>1720</v>
      </c>
      <c r="H40" s="3" t="s">
        <v>100</v>
      </c>
      <c r="I40" s="3" t="s">
        <v>36</v>
      </c>
      <c r="J40" s="3">
        <v>5.75</v>
      </c>
      <c r="K40" s="3" t="s">
        <v>192</v>
      </c>
      <c r="L40" s="3" t="s">
        <v>88</v>
      </c>
      <c r="M40" s="3" t="s">
        <v>198</v>
      </c>
      <c r="N40" s="3" t="s">
        <v>37</v>
      </c>
      <c r="O40" s="3" t="s">
        <v>327</v>
      </c>
      <c r="P40" s="3" t="s">
        <v>328</v>
      </c>
      <c r="Q40" s="3" t="s">
        <v>193</v>
      </c>
    </row>
    <row r="41" spans="1:17" ht="57" hidden="1">
      <c r="A41" s="3" t="s">
        <v>189</v>
      </c>
      <c r="B41" s="3" t="s">
        <v>35</v>
      </c>
      <c r="C41" s="3" t="s">
        <v>178</v>
      </c>
      <c r="D41" s="3" t="s">
        <v>183</v>
      </c>
      <c r="E41" s="3" t="s">
        <v>184</v>
      </c>
      <c r="F41" s="3">
        <v>151</v>
      </c>
      <c r="G41" s="3">
        <v>1720</v>
      </c>
      <c r="H41" s="3" t="s">
        <v>100</v>
      </c>
      <c r="I41" s="3" t="s">
        <v>36</v>
      </c>
      <c r="J41" s="3">
        <v>5.75</v>
      </c>
      <c r="K41" s="3" t="s">
        <v>185</v>
      </c>
      <c r="L41" s="3" t="s">
        <v>88</v>
      </c>
      <c r="M41" s="3" t="s">
        <v>198</v>
      </c>
      <c r="N41" s="3" t="s">
        <v>37</v>
      </c>
      <c r="O41" s="3" t="s">
        <v>329</v>
      </c>
      <c r="P41" s="3" t="s">
        <v>330</v>
      </c>
      <c r="Q41" s="3" t="s">
        <v>194</v>
      </c>
    </row>
    <row r="42" spans="1:17" ht="57" hidden="1">
      <c r="A42" s="3" t="s">
        <v>195</v>
      </c>
      <c r="B42" s="3" t="s">
        <v>35</v>
      </c>
      <c r="C42" s="3" t="s">
        <v>178</v>
      </c>
      <c r="D42" s="3" t="s">
        <v>183</v>
      </c>
      <c r="E42" s="3" t="s">
        <v>184</v>
      </c>
      <c r="F42" s="3">
        <v>151</v>
      </c>
      <c r="G42" s="3">
        <v>1720</v>
      </c>
      <c r="H42" s="3" t="s">
        <v>100</v>
      </c>
      <c r="I42" s="3" t="s">
        <v>36</v>
      </c>
      <c r="J42" s="3">
        <v>5.75</v>
      </c>
      <c r="K42" s="3" t="s">
        <v>196</v>
      </c>
      <c r="L42" s="3" t="s">
        <v>88</v>
      </c>
      <c r="M42" s="3" t="s">
        <v>198</v>
      </c>
      <c r="N42" s="3" t="s">
        <v>37</v>
      </c>
      <c r="O42" s="3" t="s">
        <v>331</v>
      </c>
      <c r="P42" s="3" t="s">
        <v>332</v>
      </c>
      <c r="Q42" s="3" t="s">
        <v>197</v>
      </c>
    </row>
    <row r="43" spans="1:17" ht="85.5" hidden="1">
      <c r="A43" s="3" t="s">
        <v>199</v>
      </c>
      <c r="B43" s="3" t="s">
        <v>35</v>
      </c>
      <c r="C43" s="3" t="s">
        <v>178</v>
      </c>
      <c r="D43" s="3" t="s">
        <v>200</v>
      </c>
      <c r="E43" s="3" t="s">
        <v>201</v>
      </c>
      <c r="F43" s="3">
        <v>118.3</v>
      </c>
      <c r="G43" s="3">
        <v>1750</v>
      </c>
      <c r="H43" s="3" t="s">
        <v>100</v>
      </c>
      <c r="I43" s="3" t="s">
        <v>36</v>
      </c>
      <c r="J43" s="3">
        <v>9</v>
      </c>
      <c r="K43" s="3" t="s">
        <v>202</v>
      </c>
      <c r="L43" s="3" t="s">
        <v>88</v>
      </c>
      <c r="M43" s="3" t="s">
        <v>214</v>
      </c>
      <c r="N43" s="3" t="s">
        <v>37</v>
      </c>
      <c r="O43" s="3" t="s">
        <v>315</v>
      </c>
      <c r="P43" s="3" t="s">
        <v>316</v>
      </c>
      <c r="Q43" s="3" t="s">
        <v>203</v>
      </c>
    </row>
    <row r="44" spans="1:17" ht="85.5" hidden="1">
      <c r="A44" s="3" t="s">
        <v>204</v>
      </c>
      <c r="B44" s="3" t="s">
        <v>35</v>
      </c>
      <c r="C44" s="3" t="s">
        <v>178</v>
      </c>
      <c r="D44" s="3" t="s">
        <v>200</v>
      </c>
      <c r="E44" s="3" t="s">
        <v>201</v>
      </c>
      <c r="F44" s="3">
        <v>118.3</v>
      </c>
      <c r="G44" s="3">
        <v>1750</v>
      </c>
      <c r="H44" s="3" t="s">
        <v>100</v>
      </c>
      <c r="I44" s="3" t="s">
        <v>36</v>
      </c>
      <c r="J44" s="3">
        <v>9</v>
      </c>
      <c r="K44" s="3" t="s">
        <v>205</v>
      </c>
      <c r="L44" s="3" t="s">
        <v>88</v>
      </c>
      <c r="M44" s="3" t="s">
        <v>214</v>
      </c>
      <c r="N44" s="3" t="s">
        <v>37</v>
      </c>
      <c r="O44" s="3" t="s">
        <v>317</v>
      </c>
      <c r="P44" s="3" t="s">
        <v>318</v>
      </c>
      <c r="Q44" s="3" t="s">
        <v>206</v>
      </c>
    </row>
    <row r="45" spans="1:17" ht="85.5" hidden="1">
      <c r="A45" s="3" t="s">
        <v>207</v>
      </c>
      <c r="B45" s="3" t="s">
        <v>35</v>
      </c>
      <c r="C45" s="3" t="s">
        <v>178</v>
      </c>
      <c r="D45" s="3" t="s">
        <v>208</v>
      </c>
      <c r="E45" s="3" t="s">
        <v>201</v>
      </c>
      <c r="F45" s="3">
        <v>118.3</v>
      </c>
      <c r="G45" s="3">
        <v>1750</v>
      </c>
      <c r="H45" s="3" t="s">
        <v>100</v>
      </c>
      <c r="I45" s="3" t="s">
        <v>36</v>
      </c>
      <c r="J45" s="3">
        <v>9</v>
      </c>
      <c r="K45" s="3" t="s">
        <v>209</v>
      </c>
      <c r="L45" s="3" t="s">
        <v>88</v>
      </c>
      <c r="M45" s="3" t="s">
        <v>214</v>
      </c>
      <c r="N45" s="3" t="s">
        <v>37</v>
      </c>
      <c r="O45" s="3" t="s">
        <v>319</v>
      </c>
      <c r="P45" s="3" t="s">
        <v>320</v>
      </c>
      <c r="Q45" s="3" t="s">
        <v>210</v>
      </c>
    </row>
    <row r="46" spans="1:17" ht="85.5" hidden="1">
      <c r="A46" s="3" t="s">
        <v>211</v>
      </c>
      <c r="B46" s="3" t="s">
        <v>35</v>
      </c>
      <c r="C46" s="3" t="s">
        <v>178</v>
      </c>
      <c r="D46" s="3" t="s">
        <v>200</v>
      </c>
      <c r="E46" s="3" t="s">
        <v>201</v>
      </c>
      <c r="F46" s="3">
        <v>118.3</v>
      </c>
      <c r="G46" s="3">
        <v>1750</v>
      </c>
      <c r="H46" s="3" t="s">
        <v>100</v>
      </c>
      <c r="I46" s="3" t="s">
        <v>36</v>
      </c>
      <c r="J46" s="3">
        <v>9</v>
      </c>
      <c r="K46" s="3" t="s">
        <v>212</v>
      </c>
      <c r="L46" s="3" t="s">
        <v>88</v>
      </c>
      <c r="M46" s="3" t="s">
        <v>214</v>
      </c>
      <c r="N46" s="3" t="s">
        <v>37</v>
      </c>
      <c r="O46" s="3" t="s">
        <v>321</v>
      </c>
      <c r="P46" s="3" t="s">
        <v>322</v>
      </c>
      <c r="Q46" s="3" t="s">
        <v>213</v>
      </c>
    </row>
    <row r="47" spans="1:17" ht="57" hidden="1">
      <c r="A47" s="3" t="s">
        <v>216</v>
      </c>
      <c r="B47" s="3" t="s">
        <v>217</v>
      </c>
      <c r="C47" s="3" t="s">
        <v>178</v>
      </c>
      <c r="D47" s="3" t="s">
        <v>218</v>
      </c>
      <c r="E47" s="3" t="s">
        <v>201</v>
      </c>
      <c r="F47" s="3">
        <v>72.5</v>
      </c>
      <c r="G47" s="3">
        <v>1750</v>
      </c>
      <c r="H47" s="3" t="s">
        <v>100</v>
      </c>
      <c r="I47" s="3" t="s">
        <v>36</v>
      </c>
      <c r="J47" s="3">
        <v>5.9</v>
      </c>
      <c r="K47" s="3" t="s">
        <v>219</v>
      </c>
      <c r="L47" s="3" t="s">
        <v>233</v>
      </c>
      <c r="M47" s="3" t="s">
        <v>234</v>
      </c>
      <c r="N47" s="3" t="s">
        <v>235</v>
      </c>
      <c r="O47" s="3" t="s">
        <v>384</v>
      </c>
      <c r="P47" s="3" t="s">
        <v>385</v>
      </c>
      <c r="Q47" s="3" t="s">
        <v>220</v>
      </c>
    </row>
    <row r="48" spans="1:17" ht="57" hidden="1">
      <c r="A48" s="3" t="s">
        <v>221</v>
      </c>
      <c r="B48" s="3" t="s">
        <v>217</v>
      </c>
      <c r="C48" s="3" t="s">
        <v>178</v>
      </c>
      <c r="D48" s="3" t="s">
        <v>218</v>
      </c>
      <c r="E48" s="3" t="s">
        <v>201</v>
      </c>
      <c r="F48" s="3">
        <v>72.5</v>
      </c>
      <c r="G48" s="3">
        <v>1750</v>
      </c>
      <c r="H48" s="3" t="s">
        <v>100</v>
      </c>
      <c r="I48" s="3" t="s">
        <v>36</v>
      </c>
      <c r="J48" s="3">
        <v>5.9</v>
      </c>
      <c r="K48" s="3" t="s">
        <v>222</v>
      </c>
      <c r="L48" s="3" t="s">
        <v>233</v>
      </c>
      <c r="M48" s="3" t="s">
        <v>234</v>
      </c>
      <c r="N48" s="3" t="s">
        <v>235</v>
      </c>
      <c r="O48" s="3" t="s">
        <v>386</v>
      </c>
      <c r="P48" s="3" t="s">
        <v>387</v>
      </c>
      <c r="Q48" s="3" t="s">
        <v>223</v>
      </c>
    </row>
    <row r="49" spans="1:18" ht="57" hidden="1">
      <c r="A49" s="3" t="s">
        <v>224</v>
      </c>
      <c r="B49" s="3" t="s">
        <v>217</v>
      </c>
      <c r="C49" s="3" t="s">
        <v>178</v>
      </c>
      <c r="D49" s="3" t="s">
        <v>218</v>
      </c>
      <c r="E49" s="3" t="s">
        <v>225</v>
      </c>
      <c r="F49" s="3"/>
      <c r="G49" s="3"/>
      <c r="H49" s="3"/>
      <c r="I49" s="3" t="s">
        <v>36</v>
      </c>
      <c r="J49" s="3">
        <v>5.9</v>
      </c>
      <c r="K49" s="3" t="s">
        <v>226</v>
      </c>
      <c r="L49" s="3" t="s">
        <v>233</v>
      </c>
      <c r="M49" s="3" t="s">
        <v>234</v>
      </c>
      <c r="N49" s="3" t="s">
        <v>235</v>
      </c>
      <c r="O49" s="3" t="s">
        <v>388</v>
      </c>
      <c r="P49" s="3" t="s">
        <v>389</v>
      </c>
      <c r="Q49" s="3" t="s">
        <v>227</v>
      </c>
    </row>
    <row r="50" spans="1:18" ht="57" hidden="1">
      <c r="A50" s="3" t="s">
        <v>228</v>
      </c>
      <c r="B50" s="3" t="s">
        <v>217</v>
      </c>
      <c r="C50" s="3" t="s">
        <v>178</v>
      </c>
      <c r="D50" s="3" t="s">
        <v>218</v>
      </c>
      <c r="E50" s="3" t="s">
        <v>225</v>
      </c>
      <c r="F50" s="3"/>
      <c r="G50" s="3"/>
      <c r="H50" s="3"/>
      <c r="I50" s="3" t="s">
        <v>36</v>
      </c>
      <c r="J50" s="3">
        <v>5.9</v>
      </c>
      <c r="K50" s="3" t="s">
        <v>226</v>
      </c>
      <c r="L50" s="3" t="s">
        <v>233</v>
      </c>
      <c r="M50" s="3" t="s">
        <v>234</v>
      </c>
      <c r="N50" s="3" t="s">
        <v>235</v>
      </c>
      <c r="O50" s="3" t="s">
        <v>390</v>
      </c>
      <c r="P50" s="3" t="s">
        <v>391</v>
      </c>
      <c r="Q50" s="3" t="s">
        <v>229</v>
      </c>
    </row>
    <row r="51" spans="1:18" ht="71.25" hidden="1">
      <c r="A51" s="3" t="s">
        <v>370</v>
      </c>
      <c r="B51" s="3" t="s">
        <v>217</v>
      </c>
      <c r="C51" s="3" t="s">
        <v>178</v>
      </c>
      <c r="D51" s="3" t="s">
        <v>218</v>
      </c>
      <c r="E51" s="3" t="s">
        <v>230</v>
      </c>
      <c r="F51" s="3">
        <v>15.64</v>
      </c>
      <c r="G51" s="3"/>
      <c r="H51" s="3"/>
      <c r="I51" s="3" t="s">
        <v>36</v>
      </c>
      <c r="J51" s="3">
        <v>5.9</v>
      </c>
      <c r="K51" s="3" t="s">
        <v>231</v>
      </c>
      <c r="L51" s="3" t="s">
        <v>233</v>
      </c>
      <c r="M51" s="3" t="s">
        <v>234</v>
      </c>
      <c r="N51" s="3" t="s">
        <v>235</v>
      </c>
      <c r="O51" s="3" t="s">
        <v>392</v>
      </c>
      <c r="P51" s="3" t="s">
        <v>393</v>
      </c>
      <c r="Q51" s="3" t="s">
        <v>232</v>
      </c>
    </row>
    <row r="52" spans="1:18" ht="114" hidden="1">
      <c r="A52" s="3" t="s">
        <v>236</v>
      </c>
      <c r="B52" s="3" t="s">
        <v>217</v>
      </c>
      <c r="C52" s="3" t="s">
        <v>178</v>
      </c>
      <c r="D52" s="3" t="s">
        <v>237</v>
      </c>
      <c r="E52" s="3" t="s">
        <v>238</v>
      </c>
      <c r="F52" s="3">
        <v>97.89</v>
      </c>
      <c r="G52" s="3">
        <v>1752</v>
      </c>
      <c r="H52" s="3" t="s">
        <v>100</v>
      </c>
      <c r="I52" s="3" t="s">
        <v>36</v>
      </c>
      <c r="J52" s="3">
        <v>11</v>
      </c>
      <c r="K52" s="3" t="s">
        <v>239</v>
      </c>
      <c r="L52" s="3" t="s">
        <v>233</v>
      </c>
      <c r="M52" s="3" t="s">
        <v>240</v>
      </c>
      <c r="N52" s="3" t="s">
        <v>235</v>
      </c>
      <c r="O52" s="3" t="s">
        <v>382</v>
      </c>
      <c r="P52" s="3" t="s">
        <v>383</v>
      </c>
      <c r="Q52" s="3" t="s">
        <v>241</v>
      </c>
    </row>
    <row r="53" spans="1:18" ht="71.25" hidden="1">
      <c r="A53" s="3" t="s">
        <v>333</v>
      </c>
      <c r="B53" s="3" t="s">
        <v>334</v>
      </c>
      <c r="C53" s="3" t="s">
        <v>335</v>
      </c>
      <c r="D53" s="3" t="s">
        <v>345</v>
      </c>
      <c r="E53" s="3" t="s">
        <v>336</v>
      </c>
      <c r="F53" s="3">
        <v>337.3</v>
      </c>
      <c r="G53" s="3"/>
      <c r="H53" s="3"/>
      <c r="I53" s="3" t="s">
        <v>36</v>
      </c>
      <c r="J53" s="3"/>
      <c r="K53" s="3" t="s">
        <v>337</v>
      </c>
      <c r="L53" s="3" t="s">
        <v>338</v>
      </c>
      <c r="M53" s="3" t="s">
        <v>339</v>
      </c>
      <c r="N53" s="3" t="s">
        <v>342</v>
      </c>
      <c r="O53" s="3" t="s">
        <v>344</v>
      </c>
      <c r="P53" s="3" t="s">
        <v>343</v>
      </c>
      <c r="Q53" s="3" t="s">
        <v>340</v>
      </c>
      <c r="R53" s="2" t="s">
        <v>341</v>
      </c>
    </row>
    <row r="54" spans="1:18" ht="71.25" hidden="1">
      <c r="A54" s="3" t="s">
        <v>346</v>
      </c>
      <c r="B54" s="3" t="s">
        <v>35</v>
      </c>
      <c r="C54" s="3" t="s">
        <v>178</v>
      </c>
      <c r="D54" s="3" t="s">
        <v>347</v>
      </c>
      <c r="E54" s="3" t="s">
        <v>348</v>
      </c>
      <c r="F54" s="3">
        <v>155.05000000000001</v>
      </c>
      <c r="G54" s="3" t="s">
        <v>127</v>
      </c>
      <c r="H54" s="3" t="s">
        <v>100</v>
      </c>
      <c r="I54" s="3" t="s">
        <v>36</v>
      </c>
      <c r="J54" s="3">
        <v>3</v>
      </c>
      <c r="K54" s="3" t="s">
        <v>349</v>
      </c>
      <c r="L54" s="3" t="s">
        <v>88</v>
      </c>
      <c r="M54" s="3" t="s">
        <v>360</v>
      </c>
      <c r="N54" s="3" t="s">
        <v>37</v>
      </c>
      <c r="O54" s="3" t="s">
        <v>358</v>
      </c>
      <c r="P54" s="3" t="s">
        <v>359</v>
      </c>
      <c r="Q54" s="3" t="s">
        <v>350</v>
      </c>
    </row>
    <row r="55" spans="1:18" ht="57" hidden="1">
      <c r="A55" s="3" t="s">
        <v>351</v>
      </c>
      <c r="B55" s="3" t="s">
        <v>35</v>
      </c>
      <c r="C55" s="3" t="s">
        <v>178</v>
      </c>
      <c r="D55" s="3" t="s">
        <v>352</v>
      </c>
      <c r="E55" s="3" t="s">
        <v>127</v>
      </c>
      <c r="F55" s="3">
        <v>185</v>
      </c>
      <c r="G55" s="3" t="s">
        <v>127</v>
      </c>
      <c r="H55" s="3" t="s">
        <v>100</v>
      </c>
      <c r="I55" s="3" t="s">
        <v>36</v>
      </c>
      <c r="J55" s="3">
        <v>9</v>
      </c>
      <c r="K55" s="3" t="s">
        <v>355</v>
      </c>
      <c r="L55" s="3" t="s">
        <v>88</v>
      </c>
      <c r="M55" s="3" t="s">
        <v>353</v>
      </c>
      <c r="N55" s="3" t="s">
        <v>37</v>
      </c>
      <c r="O55" s="3" t="s">
        <v>356</v>
      </c>
      <c r="P55" s="3" t="s">
        <v>357</v>
      </c>
      <c r="Q55" s="3" t="s">
        <v>354</v>
      </c>
    </row>
    <row r="56" spans="1:18" ht="57" hidden="1">
      <c r="A56" s="3" t="s">
        <v>361</v>
      </c>
      <c r="B56" s="3" t="s">
        <v>35</v>
      </c>
      <c r="C56" s="3" t="s">
        <v>362</v>
      </c>
      <c r="D56" s="3"/>
      <c r="E56" s="3" t="s">
        <v>363</v>
      </c>
      <c r="F56" s="3" t="s">
        <v>127</v>
      </c>
      <c r="G56" s="3" t="s">
        <v>127</v>
      </c>
      <c r="H56" s="3" t="s">
        <v>127</v>
      </c>
      <c r="I56" s="3" t="s">
        <v>36</v>
      </c>
      <c r="J56" s="3">
        <v>3</v>
      </c>
      <c r="K56" s="3" t="s">
        <v>364</v>
      </c>
      <c r="L56" s="3" t="s">
        <v>367</v>
      </c>
      <c r="M56" s="3" t="s">
        <v>366</v>
      </c>
      <c r="N56" s="3" t="s">
        <v>105</v>
      </c>
      <c r="O56" s="3" t="s">
        <v>368</v>
      </c>
      <c r="P56" s="3" t="s">
        <v>369</v>
      </c>
      <c r="Q56" s="3" t="s">
        <v>365</v>
      </c>
    </row>
    <row r="57" spans="1:18" ht="57" hidden="1">
      <c r="A57" s="3" t="s">
        <v>371</v>
      </c>
      <c r="B57" s="3" t="s">
        <v>217</v>
      </c>
      <c r="C57" s="3" t="s">
        <v>178</v>
      </c>
      <c r="D57" s="3" t="s">
        <v>237</v>
      </c>
      <c r="E57" s="3" t="s">
        <v>372</v>
      </c>
      <c r="F57" s="3">
        <v>35.19</v>
      </c>
      <c r="G57" s="3">
        <v>1760</v>
      </c>
      <c r="H57" s="3" t="s">
        <v>100</v>
      </c>
      <c r="I57" s="3" t="s">
        <v>36</v>
      </c>
      <c r="J57" s="3">
        <v>11</v>
      </c>
      <c r="K57" s="3" t="s">
        <v>373</v>
      </c>
      <c r="L57" s="3" t="s">
        <v>233</v>
      </c>
      <c r="M57" s="3" t="s">
        <v>240</v>
      </c>
      <c r="N57" s="3" t="s">
        <v>235</v>
      </c>
      <c r="O57" s="3" t="s">
        <v>378</v>
      </c>
      <c r="P57" s="3" t="s">
        <v>379</v>
      </c>
      <c r="Q57" s="3" t="s">
        <v>374</v>
      </c>
    </row>
    <row r="58" spans="1:18" ht="57" hidden="1">
      <c r="A58" s="3" t="s">
        <v>375</v>
      </c>
      <c r="B58" s="3" t="s">
        <v>217</v>
      </c>
      <c r="C58" s="3" t="s">
        <v>178</v>
      </c>
      <c r="D58" s="3" t="s">
        <v>237</v>
      </c>
      <c r="E58" s="3" t="s">
        <v>372</v>
      </c>
      <c r="F58" s="3">
        <v>35.19</v>
      </c>
      <c r="G58" s="3">
        <v>1760</v>
      </c>
      <c r="H58" s="3" t="s">
        <v>100</v>
      </c>
      <c r="I58" s="3" t="s">
        <v>36</v>
      </c>
      <c r="J58" s="3">
        <v>11</v>
      </c>
      <c r="K58" s="3" t="s">
        <v>376</v>
      </c>
      <c r="L58" s="3" t="s">
        <v>233</v>
      </c>
      <c r="M58" s="3" t="s">
        <v>240</v>
      </c>
      <c r="N58" s="3" t="s">
        <v>235</v>
      </c>
      <c r="O58" s="3" t="s">
        <v>380</v>
      </c>
      <c r="P58" s="3" t="s">
        <v>381</v>
      </c>
      <c r="Q58" s="3" t="s">
        <v>377</v>
      </c>
    </row>
    <row r="59" spans="1:18" ht="57" hidden="1">
      <c r="A59" s="3" t="s">
        <v>394</v>
      </c>
      <c r="B59" s="3" t="s">
        <v>217</v>
      </c>
      <c r="C59" s="3" t="s">
        <v>178</v>
      </c>
      <c r="D59" s="3" t="s">
        <v>395</v>
      </c>
      <c r="E59" s="3" t="s">
        <v>396</v>
      </c>
      <c r="F59" s="3">
        <v>27.88</v>
      </c>
      <c r="G59" s="3"/>
      <c r="H59" s="3"/>
      <c r="I59" s="3" t="s">
        <v>36</v>
      </c>
      <c r="J59" s="3">
        <v>11</v>
      </c>
      <c r="K59" s="3" t="s">
        <v>397</v>
      </c>
      <c r="L59" s="3" t="s">
        <v>401</v>
      </c>
      <c r="M59" s="3" t="s">
        <v>402</v>
      </c>
      <c r="N59" s="3" t="s">
        <v>235</v>
      </c>
      <c r="O59" s="3" t="s">
        <v>403</v>
      </c>
      <c r="P59" s="3" t="s">
        <v>404</v>
      </c>
      <c r="Q59" s="3" t="s">
        <v>398</v>
      </c>
    </row>
    <row r="60" spans="1:18" ht="71.25" hidden="1">
      <c r="A60" s="3" t="s">
        <v>73</v>
      </c>
      <c r="B60" s="3" t="s">
        <v>217</v>
      </c>
      <c r="C60" s="3" t="s">
        <v>178</v>
      </c>
      <c r="D60" s="3" t="s">
        <v>395</v>
      </c>
      <c r="E60" s="3" t="s">
        <v>396</v>
      </c>
      <c r="F60" s="3">
        <v>27.88</v>
      </c>
      <c r="G60" s="3"/>
      <c r="H60" s="3"/>
      <c r="I60" s="3" t="s">
        <v>36</v>
      </c>
      <c r="J60" s="3">
        <v>11</v>
      </c>
      <c r="K60" s="3" t="s">
        <v>399</v>
      </c>
      <c r="L60" s="3" t="s">
        <v>401</v>
      </c>
      <c r="M60" s="3" t="s">
        <v>402</v>
      </c>
      <c r="N60" s="3" t="s">
        <v>235</v>
      </c>
      <c r="O60" s="3" t="s">
        <v>405</v>
      </c>
      <c r="P60" s="3" t="s">
        <v>406</v>
      </c>
      <c r="Q60" s="3" t="s">
        <v>400</v>
      </c>
    </row>
    <row r="61" spans="1:18" ht="99.75" hidden="1">
      <c r="A61" s="3" t="s">
        <v>407</v>
      </c>
      <c r="B61" s="3" t="s">
        <v>217</v>
      </c>
      <c r="C61" s="3" t="s">
        <v>335</v>
      </c>
      <c r="D61" s="3" t="s">
        <v>408</v>
      </c>
      <c r="E61" s="3" t="s">
        <v>409</v>
      </c>
      <c r="F61" s="3"/>
      <c r="G61" s="3"/>
      <c r="H61" s="3"/>
      <c r="I61" s="3" t="s">
        <v>417</v>
      </c>
      <c r="J61" s="3" t="s">
        <v>414</v>
      </c>
      <c r="K61" s="3" t="s">
        <v>410</v>
      </c>
      <c r="L61" s="3" t="s">
        <v>418</v>
      </c>
      <c r="M61" s="3" t="s">
        <v>419</v>
      </c>
      <c r="N61" s="3" t="s">
        <v>235</v>
      </c>
      <c r="O61" s="3" t="s">
        <v>405</v>
      </c>
      <c r="P61" s="3" t="s">
        <v>406</v>
      </c>
      <c r="Q61" s="3" t="s">
        <v>411</v>
      </c>
    </row>
    <row r="62" spans="1:18" ht="114" hidden="1">
      <c r="A62" s="3" t="s">
        <v>412</v>
      </c>
      <c r="B62" s="3" t="s">
        <v>217</v>
      </c>
      <c r="C62" s="3" t="s">
        <v>335</v>
      </c>
      <c r="D62" s="3" t="s">
        <v>408</v>
      </c>
      <c r="E62" s="3" t="s">
        <v>413</v>
      </c>
      <c r="F62" s="3"/>
      <c r="G62" s="3"/>
      <c r="H62" s="3"/>
      <c r="I62" s="3" t="s">
        <v>417</v>
      </c>
      <c r="J62" s="3" t="s">
        <v>414</v>
      </c>
      <c r="K62" s="3" t="s">
        <v>415</v>
      </c>
      <c r="L62" s="3" t="s">
        <v>418</v>
      </c>
      <c r="M62" s="3" t="s">
        <v>419</v>
      </c>
      <c r="N62" s="3" t="s">
        <v>235</v>
      </c>
      <c r="O62" s="3" t="s">
        <v>420</v>
      </c>
      <c r="P62" s="3" t="s">
        <v>421</v>
      </c>
      <c r="Q62" s="3" t="s">
        <v>416</v>
      </c>
    </row>
    <row r="63" spans="1:18" ht="57" hidden="1">
      <c r="A63" s="3" t="s">
        <v>423</v>
      </c>
      <c r="B63" s="3" t="s">
        <v>35</v>
      </c>
      <c r="C63" s="3" t="str">
        <f>CONCATENATE("MOTOREDUTOR"," ",TabelaEquipamentos[[#This Row],[Fabricante]])</f>
        <v>MOTOREDUTOR WEG CESTARI</v>
      </c>
      <c r="D63" s="3" t="s">
        <v>422</v>
      </c>
      <c r="E63" s="3" t="s">
        <v>424</v>
      </c>
      <c r="F63" s="3">
        <v>30.3</v>
      </c>
      <c r="G63" s="3">
        <v>1750</v>
      </c>
      <c r="H63" s="3" t="s">
        <v>100</v>
      </c>
      <c r="I63" s="3" t="s">
        <v>425</v>
      </c>
      <c r="J63" s="3" t="s">
        <v>426</v>
      </c>
      <c r="K63" s="3" t="s">
        <v>373</v>
      </c>
      <c r="L63" s="3" t="s">
        <v>452</v>
      </c>
      <c r="M63" s="3" t="s">
        <v>430</v>
      </c>
      <c r="N63" s="3" t="s">
        <v>105</v>
      </c>
      <c r="O63" s="3" t="s">
        <v>428</v>
      </c>
      <c r="P63" s="3" t="s">
        <v>429</v>
      </c>
      <c r="Q63" s="3" t="s">
        <v>427</v>
      </c>
    </row>
    <row r="64" spans="1:18" ht="57" hidden="1">
      <c r="A64" s="3" t="s">
        <v>431</v>
      </c>
      <c r="B64" s="3" t="s">
        <v>35</v>
      </c>
      <c r="C64" s="3" t="str">
        <f>CONCATENATE("MOTOREDUTOR"," ",TabelaEquipamentos[[#This Row],[Fabricante]])</f>
        <v>MOTOREDUTOR WEG CESTARI</v>
      </c>
      <c r="D64" s="3" t="s">
        <v>435</v>
      </c>
      <c r="E64" s="3" t="s">
        <v>126</v>
      </c>
      <c r="F64" s="3">
        <v>56.2</v>
      </c>
      <c r="G64" s="3">
        <v>1750</v>
      </c>
      <c r="H64" s="3" t="s">
        <v>100</v>
      </c>
      <c r="I64" s="3" t="s">
        <v>425</v>
      </c>
      <c r="J64" s="3" t="s">
        <v>426</v>
      </c>
      <c r="K64" s="3" t="s">
        <v>449</v>
      </c>
      <c r="L64" s="3" t="s">
        <v>452</v>
      </c>
      <c r="M64" s="3" t="s">
        <v>436</v>
      </c>
      <c r="N64" s="3" t="s">
        <v>105</v>
      </c>
      <c r="O64" s="3" t="s">
        <v>438</v>
      </c>
      <c r="P64" s="3" t="s">
        <v>439</v>
      </c>
      <c r="Q64" s="3" t="s">
        <v>437</v>
      </c>
    </row>
    <row r="65" spans="1:17" ht="57" hidden="1">
      <c r="A65" s="3" t="s">
        <v>432</v>
      </c>
      <c r="B65" s="3" t="s">
        <v>35</v>
      </c>
      <c r="C65" s="3" t="str">
        <f>CONCATENATE("MOTOREDUTOR"," ",TabelaEquipamentos[[#This Row],[Fabricante]])</f>
        <v>MOTOREDUTOR WEG CESTARI</v>
      </c>
      <c r="D65" s="3" t="s">
        <v>422</v>
      </c>
      <c r="E65" s="3" t="s">
        <v>424</v>
      </c>
      <c r="F65" s="3">
        <v>30.3</v>
      </c>
      <c r="G65" s="3">
        <v>1750</v>
      </c>
      <c r="H65" s="3" t="s">
        <v>100</v>
      </c>
      <c r="I65" s="3" t="s">
        <v>425</v>
      </c>
      <c r="J65" s="3" t="s">
        <v>426</v>
      </c>
      <c r="K65" s="3" t="s">
        <v>376</v>
      </c>
      <c r="L65" s="3" t="s">
        <v>452</v>
      </c>
      <c r="M65" s="3" t="s">
        <v>430</v>
      </c>
      <c r="N65" s="3" t="s">
        <v>105</v>
      </c>
      <c r="O65" s="3" t="s">
        <v>440</v>
      </c>
      <c r="P65" s="3" t="s">
        <v>441</v>
      </c>
      <c r="Q65" s="3" t="s">
        <v>442</v>
      </c>
    </row>
    <row r="66" spans="1:17" ht="57" hidden="1">
      <c r="A66" s="3" t="s">
        <v>433</v>
      </c>
      <c r="B66" s="3" t="s">
        <v>35</v>
      </c>
      <c r="C66" s="3" t="str">
        <f>CONCATENATE("MOTOREDUTOR"," ",TabelaEquipamentos[[#This Row],[Fabricante]])</f>
        <v>MOTOREDUTOR WEG CESTARI</v>
      </c>
      <c r="D66" s="3" t="s">
        <v>435</v>
      </c>
      <c r="E66" s="3" t="s">
        <v>126</v>
      </c>
      <c r="F66" s="3">
        <v>56.2</v>
      </c>
      <c r="G66" s="3">
        <v>1750</v>
      </c>
      <c r="H66" s="3" t="s">
        <v>100</v>
      </c>
      <c r="I66" s="3" t="s">
        <v>425</v>
      </c>
      <c r="J66" s="3" t="s">
        <v>426</v>
      </c>
      <c r="K66" s="3" t="s">
        <v>450</v>
      </c>
      <c r="L66" s="3" t="s">
        <v>452</v>
      </c>
      <c r="M66" s="3" t="s">
        <v>436</v>
      </c>
      <c r="N66" s="3" t="s">
        <v>105</v>
      </c>
      <c r="O66" s="3" t="s">
        <v>443</v>
      </c>
      <c r="P66" s="3" t="s">
        <v>444</v>
      </c>
      <c r="Q66" s="3" t="s">
        <v>445</v>
      </c>
    </row>
    <row r="67" spans="1:17" ht="57" hidden="1">
      <c r="A67" s="3" t="s">
        <v>434</v>
      </c>
      <c r="B67" s="3" t="s">
        <v>35</v>
      </c>
      <c r="C67" s="3" t="str">
        <f>CONCATENATE("MOTOREDUTOR"," ",TabelaEquipamentos[[#This Row],[Fabricante]])</f>
        <v>MOTOREDUTOR WEG CESTARI</v>
      </c>
      <c r="D67" s="3" t="s">
        <v>422</v>
      </c>
      <c r="E67" s="3" t="s">
        <v>424</v>
      </c>
      <c r="F67" s="3">
        <v>30.3</v>
      </c>
      <c r="G67" s="3">
        <v>1750</v>
      </c>
      <c r="H67" s="3" t="s">
        <v>100</v>
      </c>
      <c r="I67" s="3" t="s">
        <v>425</v>
      </c>
      <c r="J67" s="3" t="s">
        <v>426</v>
      </c>
      <c r="K67" s="3" t="s">
        <v>451</v>
      </c>
      <c r="L67" s="3" t="s">
        <v>452</v>
      </c>
      <c r="M67" s="3" t="s">
        <v>430</v>
      </c>
      <c r="N67" s="3" t="s">
        <v>105</v>
      </c>
      <c r="O67" s="3" t="s">
        <v>446</v>
      </c>
      <c r="P67" s="3" t="s">
        <v>447</v>
      </c>
      <c r="Q67" s="3" t="s">
        <v>448</v>
      </c>
    </row>
    <row r="68" spans="1:17" ht="85.5" hidden="1">
      <c r="A68" s="3" t="s">
        <v>453</v>
      </c>
      <c r="B68" s="3" t="s">
        <v>217</v>
      </c>
      <c r="C68" s="3" t="s">
        <v>335</v>
      </c>
      <c r="D68" s="3" t="s">
        <v>454</v>
      </c>
      <c r="E68" s="3" t="s">
        <v>455</v>
      </c>
      <c r="F68" s="3"/>
      <c r="G68" s="3"/>
      <c r="H68" s="3"/>
      <c r="I68" s="3" t="s">
        <v>473</v>
      </c>
      <c r="J68" s="3">
        <v>12</v>
      </c>
      <c r="K68" s="3" t="s">
        <v>456</v>
      </c>
      <c r="L68" s="3" t="s">
        <v>457</v>
      </c>
      <c r="M68" s="3" t="s">
        <v>458</v>
      </c>
      <c r="N68" s="3" t="s">
        <v>459</v>
      </c>
      <c r="O68" s="3" t="s">
        <v>460</v>
      </c>
      <c r="P68" s="3" t="s">
        <v>461</v>
      </c>
      <c r="Q68" s="3" t="s">
        <v>462</v>
      </c>
    </row>
    <row r="69" spans="1:17" ht="85.5" hidden="1">
      <c r="A69" s="3" t="s">
        <v>463</v>
      </c>
      <c r="B69" s="3" t="s">
        <v>217</v>
      </c>
      <c r="C69" s="3" t="s">
        <v>335</v>
      </c>
      <c r="D69" s="3" t="s">
        <v>454</v>
      </c>
      <c r="E69" s="3" t="s">
        <v>455</v>
      </c>
      <c r="F69" s="3"/>
      <c r="G69" s="3"/>
      <c r="H69" s="3"/>
      <c r="I69" s="3" t="s">
        <v>473</v>
      </c>
      <c r="J69" s="3">
        <v>12</v>
      </c>
      <c r="K69" s="3" t="s">
        <v>464</v>
      </c>
      <c r="L69" s="3" t="s">
        <v>457</v>
      </c>
      <c r="M69" s="3" t="s">
        <v>458</v>
      </c>
      <c r="N69" s="3" t="s">
        <v>459</v>
      </c>
      <c r="O69" s="3" t="s">
        <v>465</v>
      </c>
      <c r="P69" s="3" t="s">
        <v>466</v>
      </c>
      <c r="Q69" s="3" t="s">
        <v>467</v>
      </c>
    </row>
    <row r="70" spans="1:17" ht="85.5" hidden="1">
      <c r="A70" s="3" t="s">
        <v>468</v>
      </c>
      <c r="B70" s="3" t="s">
        <v>217</v>
      </c>
      <c r="C70" s="3" t="s">
        <v>335</v>
      </c>
      <c r="D70" s="3" t="s">
        <v>454</v>
      </c>
      <c r="E70" s="3" t="s">
        <v>455</v>
      </c>
      <c r="F70" s="3"/>
      <c r="G70" s="3"/>
      <c r="H70" s="3"/>
      <c r="I70" s="3" t="s">
        <v>473</v>
      </c>
      <c r="J70" s="3">
        <v>12</v>
      </c>
      <c r="K70" s="3" t="s">
        <v>469</v>
      </c>
      <c r="L70" s="3" t="s">
        <v>457</v>
      </c>
      <c r="M70" s="3" t="s">
        <v>458</v>
      </c>
      <c r="N70" s="3" t="s">
        <v>459</v>
      </c>
      <c r="O70" s="3" t="s">
        <v>470</v>
      </c>
      <c r="P70" s="3" t="s">
        <v>471</v>
      </c>
      <c r="Q70" s="3" t="s">
        <v>472</v>
      </c>
    </row>
    <row r="71" spans="1:17" ht="99.75" hidden="1">
      <c r="A71" s="4" t="s">
        <v>474</v>
      </c>
      <c r="B71" s="5" t="s">
        <v>217</v>
      </c>
      <c r="C71" s="6" t="s">
        <v>335</v>
      </c>
      <c r="D71" s="6" t="s">
        <v>454</v>
      </c>
      <c r="E71" s="6" t="s">
        <v>475</v>
      </c>
      <c r="F71" s="6">
        <v>39.630000000000003</v>
      </c>
      <c r="G71" s="6"/>
      <c r="H71" s="6"/>
      <c r="I71" s="7" t="s">
        <v>417</v>
      </c>
      <c r="J71" s="7" t="s">
        <v>414</v>
      </c>
      <c r="K71" s="6" t="s">
        <v>476</v>
      </c>
      <c r="L71" s="3" t="s">
        <v>457</v>
      </c>
      <c r="M71" s="3" t="s">
        <v>482</v>
      </c>
      <c r="N71" s="3" t="s">
        <v>483</v>
      </c>
      <c r="O71" s="3" t="s">
        <v>484</v>
      </c>
      <c r="P71" s="3" t="s">
        <v>485</v>
      </c>
      <c r="Q71" s="6" t="s">
        <v>480</v>
      </c>
    </row>
    <row r="72" spans="1:17" ht="114" hidden="1">
      <c r="A72" s="6" t="s">
        <v>479</v>
      </c>
      <c r="B72" s="6" t="s">
        <v>217</v>
      </c>
      <c r="C72" s="6" t="s">
        <v>335</v>
      </c>
      <c r="D72" s="6" t="s">
        <v>478</v>
      </c>
      <c r="E72" s="6" t="s">
        <v>372</v>
      </c>
      <c r="F72" s="6">
        <v>39.630000000000003</v>
      </c>
      <c r="G72" s="7"/>
      <c r="H72" s="7"/>
      <c r="I72" s="7" t="s">
        <v>417</v>
      </c>
      <c r="J72" s="7" t="s">
        <v>414</v>
      </c>
      <c r="K72" s="7" t="s">
        <v>477</v>
      </c>
      <c r="L72" s="3" t="s">
        <v>457</v>
      </c>
      <c r="M72" s="3" t="s">
        <v>482</v>
      </c>
      <c r="N72" s="3" t="s">
        <v>483</v>
      </c>
      <c r="O72" s="3" t="s">
        <v>486</v>
      </c>
      <c r="P72" s="3" t="s">
        <v>487</v>
      </c>
      <c r="Q72" s="6" t="s">
        <v>481</v>
      </c>
    </row>
  </sheetData>
  <phoneticPr fontId="3" type="noConversion"/>
  <conditionalFormatting sqref="B73:B1048576">
    <cfRule type="duplicateValues" dxfId="2" priority="13"/>
  </conditionalFormatting>
  <conditionalFormatting sqref="R1">
    <cfRule type="duplicateValues" dxfId="1" priority="14"/>
  </conditionalFormatting>
  <conditionalFormatting sqref="R2:R72">
    <cfRule type="duplicateValues" dxfId="0" priority="23"/>
  </conditionalFormatting>
  <pageMargins left="0.70866141732283472" right="0.70866141732283472" top="0.74803149606299213" bottom="0.74803149606299213" header="0.31496062992125984" footer="0.31496062992125984"/>
  <pageSetup paperSize="9" scale="47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"/>
    </sheetView>
  </sheetViews>
  <sheetFormatPr defaultRowHeight="14.25"/>
  <cols>
    <col min="1" max="1" width="66.125" customWidth="1"/>
    <col min="2" max="2" width="80" customWidth="1"/>
  </cols>
  <sheetData>
    <row r="1" spans="1:2" ht="15">
      <c r="A1" s="8" t="s">
        <v>16</v>
      </c>
      <c r="B1" s="8"/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31</v>
      </c>
      <c r="B10" t="s">
        <v>32</v>
      </c>
    </row>
    <row r="12" spans="1:2">
      <c r="A12" t="s">
        <v>33</v>
      </c>
    </row>
    <row r="13" spans="1:2">
      <c r="A13" t="s">
        <v>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Equipamentos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Santiago</dc:creator>
  <cp:lastModifiedBy>Andre Santiago</cp:lastModifiedBy>
  <cp:lastPrinted>2026-06-23T11:09:47Z</cp:lastPrinted>
  <dcterms:created xsi:type="dcterms:W3CDTF">2026-06-09T19:30:54Z</dcterms:created>
  <dcterms:modified xsi:type="dcterms:W3CDTF">2026-10-16T13:34:22Z</dcterms:modified>
</cp:coreProperties>
</file>